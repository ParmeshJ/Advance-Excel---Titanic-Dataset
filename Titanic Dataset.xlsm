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3.xml" ContentType="application/vnd.openxmlformats-officedocument.drawing+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mc:AlternateContent xmlns:mc="http://schemas.openxmlformats.org/markup-compatibility/2006">
    <mc:Choice Requires="x15">
      <x15ac:absPath xmlns:x15ac="http://schemas.microsoft.com/office/spreadsheetml/2010/11/ac" url="C:\Users\admin\Downloads\"/>
    </mc:Choice>
  </mc:AlternateContent>
  <bookViews>
    <workbookView xWindow="0" yWindow="0" windowWidth="24000" windowHeight="9735" activeTab="1"/>
  </bookViews>
  <sheets>
    <sheet name="Titanic Dataset" sheetId="1" r:id="rId1"/>
    <sheet name="Pivot Table &amp; Chart" sheetId="4" r:id="rId2"/>
    <sheet name="Charts" sheetId="5" r:id="rId3"/>
    <sheet name="Table" sheetId="3" r:id="rId4"/>
    <sheet name="Conditional Formatting" sheetId="8" r:id="rId5"/>
    <sheet name="Slicing" sheetId="12" r:id="rId6"/>
    <sheet name="Vlookup" sheetId="6" r:id="rId7"/>
    <sheet name="IfError" sheetId="7" r:id="rId8"/>
    <sheet name="Functions and Average" sheetId="10" r:id="rId9"/>
  </sheets>
  <definedNames>
    <definedName name="Slicer_Age">#N/A</definedName>
    <definedName name="Slicer_Name">#N/A</definedName>
    <definedName name="Slicer_PassengerId">#N/A</definedName>
    <definedName name="Slicer_Sex">#N/A</definedName>
    <definedName name="Slicer_Survived">#N/A</definedName>
  </definedNames>
  <calcPr calcId="152511"/>
  <pivotCaches>
    <pivotCache cacheId="2"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O4" i="7" l="1"/>
  <c r="O5" i="7"/>
  <c r="O6" i="7"/>
  <c r="O7" i="7"/>
  <c r="O8" i="7"/>
  <c r="O9" i="7"/>
  <c r="O10" i="7"/>
  <c r="O11" i="7"/>
  <c r="O12" i="7"/>
  <c r="O13" i="7"/>
  <c r="O14" i="7"/>
  <c r="O15" i="7"/>
  <c r="O16" i="7"/>
  <c r="O17" i="7"/>
  <c r="O18" i="7"/>
  <c r="O3" i="7"/>
  <c r="P7" i="6"/>
  <c r="P8" i="6"/>
  <c r="P9" i="6"/>
  <c r="P10" i="6"/>
  <c r="P11" i="6"/>
  <c r="P12" i="6"/>
  <c r="P13" i="6"/>
  <c r="P14" i="6"/>
  <c r="P15" i="6"/>
  <c r="P16" i="6"/>
  <c r="P17" i="6"/>
  <c r="P18" i="6"/>
  <c r="P19" i="6"/>
  <c r="P20" i="6"/>
  <c r="P21" i="6"/>
  <c r="P6" i="6"/>
  <c r="M3" i="10" l="1"/>
  <c r="E18" i="10"/>
  <c r="E13" i="10"/>
  <c r="E8" i="10"/>
  <c r="E3" i="10"/>
</calcChain>
</file>

<file path=xl/sharedStrings.xml><?xml version="1.0" encoding="utf-8"?>
<sst xmlns="http://schemas.openxmlformats.org/spreadsheetml/2006/main" count="1968" uniqueCount="185">
  <si>
    <t>PassengerId</t>
  </si>
  <si>
    <t>Survived</t>
  </si>
  <si>
    <t>Pclass</t>
  </si>
  <si>
    <t>Name</t>
  </si>
  <si>
    <t>Sex</t>
  </si>
  <si>
    <t>Age</t>
  </si>
  <si>
    <t>SibSp</t>
  </si>
  <si>
    <t>Parch</t>
  </si>
  <si>
    <t>Ticket</t>
  </si>
  <si>
    <t>Fare</t>
  </si>
  <si>
    <t>Cabin</t>
  </si>
  <si>
    <t>Embarked</t>
  </si>
  <si>
    <t>Kelly, Mr. James</t>
  </si>
  <si>
    <t>male</t>
  </si>
  <si>
    <t>Q</t>
  </si>
  <si>
    <t>Wilkes, Mrs. James (Ellen Needs)</t>
  </si>
  <si>
    <t>female</t>
  </si>
  <si>
    <t>S</t>
  </si>
  <si>
    <t>Myles, Mr. Thomas Francis</t>
  </si>
  <si>
    <t>Wirz, Mr. Albert</t>
  </si>
  <si>
    <t>Hirvonen, Mrs. Alexander (Helga E Lindqvist)</t>
  </si>
  <si>
    <t>Svensson, Mr. Johan Cervin</t>
  </si>
  <si>
    <t>Connolly, Miss. Kate</t>
  </si>
  <si>
    <t>Caldwell, Mr. Albert Francis</t>
  </si>
  <si>
    <t>Abrahim, Mrs. Joseph (Sophie Halaut Easu)</t>
  </si>
  <si>
    <t>C</t>
  </si>
  <si>
    <t>Davies, Mr. John Samuel</t>
  </si>
  <si>
    <t>A/4 48871</t>
  </si>
  <si>
    <t>Ilieff, Mr. Ylio</t>
  </si>
  <si>
    <t>Jones, Mr. Charles Cresson</t>
  </si>
  <si>
    <t>Snyder, Mrs. John Pillsbury (Nelle Stevenson)</t>
  </si>
  <si>
    <t>B45</t>
  </si>
  <si>
    <t>Howard, Mr. Benjamin</t>
  </si>
  <si>
    <t>Chaffee, Mrs. Herbert Fuller (Carrie Constance Toogood)</t>
  </si>
  <si>
    <t>W.E.P. 5734</t>
  </si>
  <si>
    <t>E31</t>
  </si>
  <si>
    <t>del Carlo, Mrs. Sebastiano (Argenia Genovesi)</t>
  </si>
  <si>
    <t>SC/PARIS 2167</t>
  </si>
  <si>
    <t>Keane, Mr. Daniel</t>
  </si>
  <si>
    <t>Assaf, Mr. Gerios</t>
  </si>
  <si>
    <t>Ilmakangas, Miss. Ida Livija</t>
  </si>
  <si>
    <t>STON/O2. 3101270</t>
  </si>
  <si>
    <t>Assaf Khalil, Mrs. Mariana (Miriam")"</t>
  </si>
  <si>
    <t>Rothschild, Mr. Martin</t>
  </si>
  <si>
    <t>PC 17603</t>
  </si>
  <si>
    <t>Olsen, Master. Artur Karl</t>
  </si>
  <si>
    <t>C 17368</t>
  </si>
  <si>
    <t>Flegenheim, Mrs. Alfred (Antoinette)</t>
  </si>
  <si>
    <t>PC 17598</t>
  </si>
  <si>
    <t>Williams, Mr. Richard Norris II</t>
  </si>
  <si>
    <t>PC 17597</t>
  </si>
  <si>
    <t>Ryerson, Mrs. Arthur Larned (Emily Maria Borie)</t>
  </si>
  <si>
    <t>PC 17608</t>
  </si>
  <si>
    <t>B57 B59 B63 B66</t>
  </si>
  <si>
    <t>Robins, Mr. Alexander A</t>
  </si>
  <si>
    <t>A/5. 3337</t>
  </si>
  <si>
    <t>Ostby, Miss. Helene Ragnhild</t>
  </si>
  <si>
    <t>B36</t>
  </si>
  <si>
    <t>Daher, Mr. Shedid</t>
  </si>
  <si>
    <t>Brady, Mr. John Bertram</t>
  </si>
  <si>
    <t>A21</t>
  </si>
  <si>
    <t>Samaan, Mr. Elias</t>
  </si>
  <si>
    <t>Louch, Mr. Charles Alexander</t>
  </si>
  <si>
    <t>SC/AH 3085</t>
  </si>
  <si>
    <t>Jefferys, Mr. Clifford Thomas</t>
  </si>
  <si>
    <t>C.A. 31029</t>
  </si>
  <si>
    <t>Dean, Mrs. Bertram (Eva Georgetta Light)</t>
  </si>
  <si>
    <t>C.A. 2315</t>
  </si>
  <si>
    <t>Johnston, Mrs. Andrew G (Elizabeth Lily" Watson)"</t>
  </si>
  <si>
    <t>W./C. 6607</t>
  </si>
  <si>
    <t>Mock, Mr. Philipp Edmund</t>
  </si>
  <si>
    <t>C78</t>
  </si>
  <si>
    <t>Katavelas, Mr. Vassilios (Catavelas Vassilios")"</t>
  </si>
  <si>
    <t>Roth, Miss. Sarah A</t>
  </si>
  <si>
    <t>Cacic, Miss. Manda</t>
  </si>
  <si>
    <t>Sap, Mr. Julius</t>
  </si>
  <si>
    <t>Hee, Mr. Ling</t>
  </si>
  <si>
    <t>Karun, Mr. Franz</t>
  </si>
  <si>
    <t>Franklin, Mr. Thomas Parham</t>
  </si>
  <si>
    <t>D34</t>
  </si>
  <si>
    <t>Goldsmith, Mr. Nathan</t>
  </si>
  <si>
    <t>SOTON/O.Q. 3101263</t>
  </si>
  <si>
    <t>Corbett, Mrs. Walter H (Irene Colvin)</t>
  </si>
  <si>
    <t>Kimball, Mrs. Edwin Nelson Jr (Gertrude Parsons)</t>
  </si>
  <si>
    <t>D19</t>
  </si>
  <si>
    <t>Peltomaki, Mr. Nikolai Johannes</t>
  </si>
  <si>
    <t>STON/O 2. 3101291</t>
  </si>
  <si>
    <t>Chevre, Mr. Paul Romaine</t>
  </si>
  <si>
    <t>PC 17594</t>
  </si>
  <si>
    <t>A9</t>
  </si>
  <si>
    <t>Shaughnessy, Mr. Patrick</t>
  </si>
  <si>
    <t>Bucknell, Mrs. William Robert (Emma Eliza Ward)</t>
  </si>
  <si>
    <t>D15</t>
  </si>
  <si>
    <t>Coutts, Mrs. William (Winnie Minnie" Treanor)"</t>
  </si>
  <si>
    <t>C.A. 37671</t>
  </si>
  <si>
    <t>Smith, Mr. Lucien Philip</t>
  </si>
  <si>
    <t>C31</t>
  </si>
  <si>
    <t>Pulbaum, Mr. Franz</t>
  </si>
  <si>
    <t>SC/PARIS 2168</t>
  </si>
  <si>
    <t>Hocking, Miss. Ellen Nellie""</t>
  </si>
  <si>
    <t>Fortune, Miss. Ethel Flora</t>
  </si>
  <si>
    <t>C23 C25 C27</t>
  </si>
  <si>
    <t>Mangiavacchi, Mr. Serafino Emilio</t>
  </si>
  <si>
    <t>SC/A.3 2861</t>
  </si>
  <si>
    <t>Rice, Master. Albert</t>
  </si>
  <si>
    <t>Cor, Mr. Bartol</t>
  </si>
  <si>
    <t>Abelseth, Mr. Olaus Jorgensen</t>
  </si>
  <si>
    <t>F G63</t>
  </si>
  <si>
    <t>Davison, Mr. Thomas Henry</t>
  </si>
  <si>
    <t>Chaudanson, Miss. Victorine</t>
  </si>
  <si>
    <t>B61</t>
  </si>
  <si>
    <t>Dika, Mr. Mirko</t>
  </si>
  <si>
    <t>McCrae, Mr. Arthur Gordon</t>
  </si>
  <si>
    <t>Bjorklund, Mr. Ernst Herbert</t>
  </si>
  <si>
    <t>Bradley, Miss. Bridget Delia</t>
  </si>
  <si>
    <t>Ryerson, Master. John Borie</t>
  </si>
  <si>
    <t>Corey, Mrs. Percy C (Mary Phyllis Elizabeth Miller)</t>
  </si>
  <si>
    <t>F.C.C. 13534</t>
  </si>
  <si>
    <t>Burns, Miss. Mary Delia</t>
  </si>
  <si>
    <t>Moore, Mr. Clarence Bloomfield</t>
  </si>
  <si>
    <t>Tucker, Mr. Gilbert Milligan Jr</t>
  </si>
  <si>
    <t>C53</t>
  </si>
  <si>
    <t>Fortune, Mrs. Mark (Mary McDougald)</t>
  </si>
  <si>
    <t>Mulvihill, Miss. Bertha E</t>
  </si>
  <si>
    <t>Minkoff, Mr. Lazar</t>
  </si>
  <si>
    <t>Nieminen, Miss. Manta Josefina</t>
  </si>
  <si>
    <t>Ovies y Rodriguez, Mr. Servando</t>
  </si>
  <si>
    <t>PC 17562</t>
  </si>
  <si>
    <t>D43</t>
  </si>
  <si>
    <t>Geiger, Miss. Amalie</t>
  </si>
  <si>
    <t>C130</t>
  </si>
  <si>
    <t>Keeping, Mr. Edwin</t>
  </si>
  <si>
    <t>C132</t>
  </si>
  <si>
    <t>Miles, Mr. Frank</t>
  </si>
  <si>
    <t>Cornell, Mrs. Robert Clifford (Malvina Helen Lamson)</t>
  </si>
  <si>
    <t>C101</t>
  </si>
  <si>
    <t>Aldworth, Mr. Charles Augustus</t>
  </si>
  <si>
    <t>Doyle, Miss. Elizabeth</t>
  </si>
  <si>
    <t>Boulos, Master. Akar</t>
  </si>
  <si>
    <t>Straus, Mr. Isidor</t>
  </si>
  <si>
    <t>PC 17483</t>
  </si>
  <si>
    <t>C55 C57</t>
  </si>
  <si>
    <t>Case, Mr. Howard Brown</t>
  </si>
  <si>
    <t>Demetri, Mr. Marinko</t>
  </si>
  <si>
    <t>Lamb, Mr. John Joseph</t>
  </si>
  <si>
    <t>Khalil, Mr. Betros</t>
  </si>
  <si>
    <t>Barry, Miss. Julia</t>
  </si>
  <si>
    <t>Badman, Miss. Emily Louisa</t>
  </si>
  <si>
    <t>A/4 31416</t>
  </si>
  <si>
    <t>O'Donoghue, Ms. Bridget</t>
  </si>
  <si>
    <t>Wells, Master. Ralph Lester</t>
  </si>
  <si>
    <t>Dyker, Mrs. Adolf Fredrik (Anna Elisabeth Judith Andersson)</t>
  </si>
  <si>
    <t>Pedersen, Mr. Olaf</t>
  </si>
  <si>
    <t>Davidson, Mrs. Thornton (Orian Hays)</t>
  </si>
  <si>
    <t>F.C. 12750</t>
  </si>
  <si>
    <t>B71</t>
  </si>
  <si>
    <t>Guest, Mr. Robert</t>
  </si>
  <si>
    <t>Birnbaum, Mr. Jakob</t>
  </si>
  <si>
    <t>Tenglin, Mr. Gunnar Isidor</t>
  </si>
  <si>
    <t>Cavendish, Mrs. Tyrell William (Julia Florence Siegel)</t>
  </si>
  <si>
    <t>C46</t>
  </si>
  <si>
    <t>Makinen, Mr. Kalle Edvard</t>
  </si>
  <si>
    <t>STON/O 2. 3101268</t>
  </si>
  <si>
    <t>Braf, Miss. Elin Ester Maria</t>
  </si>
  <si>
    <t>Nancarrow, Mr. William Henry</t>
  </si>
  <si>
    <t>A./5. 3338</t>
  </si>
  <si>
    <t>Row Labels</t>
  </si>
  <si>
    <t>Grand Total</t>
  </si>
  <si>
    <t>Sum of Age</t>
  </si>
  <si>
    <t>Sum of Survived</t>
  </si>
  <si>
    <t>No.of parents</t>
  </si>
  <si>
    <t>Sibling</t>
  </si>
  <si>
    <t>Passenger class</t>
  </si>
  <si>
    <t>Passsengers class</t>
  </si>
  <si>
    <t>SUM</t>
  </si>
  <si>
    <t>COUNT</t>
  </si>
  <si>
    <t>MAX</t>
  </si>
  <si>
    <t>MIN</t>
  </si>
  <si>
    <t>AVERAGE</t>
  </si>
  <si>
    <t>Parmesh Joshi</t>
  </si>
  <si>
    <t>Vaibhav Maurya</t>
  </si>
  <si>
    <t>Mohit Patel</t>
  </si>
  <si>
    <t>Emma Watson</t>
  </si>
  <si>
    <t>Dwayne Johnson</t>
  </si>
  <si>
    <t>Adityanath Yogi</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</si>
</sst>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59999389629810485"/>
        <bgColor indexed="64"/>
      </patternFill>
    </fill>
    <fill>
      <patternFill patternType="solid">
        <fgColor theme="0"/>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bgColor indexed="64"/>
      </patternFill>
    </fill>
    <fill>
      <patternFill patternType="solid">
        <fgColor rgb="FF92D050"/>
        <bgColor indexed="64"/>
      </patternFill>
    </fill>
    <fill>
      <patternFill patternType="solid">
        <fgColor theme="8"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17" fillId="39"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C00000"/>
        </patternFill>
      </fill>
    </dxf>
    <dxf>
      <fill>
        <patternFill>
          <bgColor rgb="FF00B0F0"/>
        </patternFill>
      </fill>
    </dxf>
    <dxf>
      <fill>
        <patternFill>
          <bgColor rgb="FF00B050"/>
        </patternFill>
      </fill>
    </dxf>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 Dataset.xlsm]Pivot Table &amp; Chart!PivotTable1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'Pivot Table &amp; Chart'!$B$3</c:f>
              <c:strCache>
                <c:ptCount val="1"/>
                <c:pt idx="0">
                  <c:v>Sum of Survived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 &amp; Chart'!$A$4:$A$106</c:f>
              <c:multiLvlStrCache>
                <c:ptCount val="100"/>
                <c:lvl>
                  <c:pt idx="0">
                    <c:v>Abrahim, Mrs. Joseph (Sophie Halaut Easu)</c:v>
                  </c:pt>
                  <c:pt idx="1">
                    <c:v>Assaf Khalil, Mrs. Mariana (Miriam")"</c:v>
                  </c:pt>
                  <c:pt idx="2">
                    <c:v>Badman, Miss. Emily Louisa</c:v>
                  </c:pt>
                  <c:pt idx="3">
                    <c:v>Barry, Miss. Julia</c:v>
                  </c:pt>
                  <c:pt idx="4">
                    <c:v>Bradley, Miss. Bridget Delia</c:v>
                  </c:pt>
                  <c:pt idx="5">
                    <c:v>Braf, Miss. Elin Ester Maria</c:v>
                  </c:pt>
                  <c:pt idx="6">
                    <c:v>Bucknell, Mrs. William Robert (Emma Eliza Ward)</c:v>
                  </c:pt>
                  <c:pt idx="7">
                    <c:v>Burns, Miss. Mary Delia</c:v>
                  </c:pt>
                  <c:pt idx="8">
                    <c:v>Cacic, Miss. Manda</c:v>
                  </c:pt>
                  <c:pt idx="9">
                    <c:v>Cavendish, Mrs. Tyrell William (Julia Florence Siegel)</c:v>
                  </c:pt>
                  <c:pt idx="10">
                    <c:v>Chaffee, Mrs. Herbert Fuller (Carrie Constance Toogood)</c:v>
                  </c:pt>
                  <c:pt idx="11">
                    <c:v>Chaudanson, Miss. Victorine</c:v>
                  </c:pt>
                  <c:pt idx="12">
                    <c:v>Connolly, Miss. Kate</c:v>
                  </c:pt>
                  <c:pt idx="13">
                    <c:v>Corbett, Mrs. Walter H (Irene Colvin)</c:v>
                  </c:pt>
                  <c:pt idx="14">
                    <c:v>Corey, Mrs. Percy C (Mary Phyllis Elizabeth Miller)</c:v>
                  </c:pt>
                  <c:pt idx="15">
                    <c:v>Cornell, Mrs. Robert Clifford (Malvina Helen Lamson)</c:v>
                  </c:pt>
                  <c:pt idx="16">
                    <c:v>Coutts, Mrs. William (Winnie Minnie" Treanor)"</c:v>
                  </c:pt>
                  <c:pt idx="17">
                    <c:v>Davidson, Mrs. Thornton (Orian Hays)</c:v>
                  </c:pt>
                  <c:pt idx="18">
                    <c:v>Dean, Mrs. Bertram (Eva Georgetta Light)</c:v>
                  </c:pt>
                  <c:pt idx="19">
                    <c:v>del Carlo, Mrs. Sebastiano (Argenia Genovesi)</c:v>
                  </c:pt>
                  <c:pt idx="20">
                    <c:v>Doyle, Miss. Elizabeth</c:v>
                  </c:pt>
                  <c:pt idx="21">
                    <c:v>Dyker, Mrs. Adolf Fredrik (Anna Elisabeth Judith Andersson)</c:v>
                  </c:pt>
                  <c:pt idx="22">
                    <c:v>Flegenheim, Mrs. Alfred (Antoinette)</c:v>
                  </c:pt>
                  <c:pt idx="23">
                    <c:v>Fortune, Miss. Ethel Flora</c:v>
                  </c:pt>
                  <c:pt idx="24">
                    <c:v>Fortune, Mrs. Mark (Mary McDougald)</c:v>
                  </c:pt>
                  <c:pt idx="25">
                    <c:v>Geiger, Miss. Amalie</c:v>
                  </c:pt>
                  <c:pt idx="26">
                    <c:v>Hirvonen, Mrs. Alexander (Helga E Lindqvist)</c:v>
                  </c:pt>
                  <c:pt idx="27">
                    <c:v>Hocking, Miss. Ellen Nellie""</c:v>
                  </c:pt>
                  <c:pt idx="28">
                    <c:v>Ilmakangas, Miss. Ida Livija</c:v>
                  </c:pt>
                  <c:pt idx="29">
                    <c:v>Johnston, Mrs. Andrew G (Elizabeth Lily" Watson)"</c:v>
                  </c:pt>
                  <c:pt idx="30">
                    <c:v>Kimball, Mrs. Edwin Nelson Jr (Gertrude Parsons)</c:v>
                  </c:pt>
                  <c:pt idx="31">
                    <c:v>Mulvihill, Miss. Bertha E</c:v>
                  </c:pt>
                  <c:pt idx="32">
                    <c:v>Nieminen, Miss. Manta Josefina</c:v>
                  </c:pt>
                  <c:pt idx="33">
                    <c:v>O'Donoghue, Ms. Bridget</c:v>
                  </c:pt>
                  <c:pt idx="34">
                    <c:v>Ostby, Miss. Helene Ragnhild</c:v>
                  </c:pt>
                  <c:pt idx="35">
                    <c:v>Roth, Miss. Sarah A</c:v>
                  </c:pt>
                  <c:pt idx="36">
                    <c:v>Ryerson, Mrs. Arthur Larned (Emily Maria Borie)</c:v>
                  </c:pt>
                  <c:pt idx="37">
                    <c:v>Snyder, Mrs. John Pillsbury (Nelle Stevenson)</c:v>
                  </c:pt>
                  <c:pt idx="38">
                    <c:v>Wilkes, Mrs. James (Ellen Needs)</c:v>
                  </c:pt>
                  <c:pt idx="39">
                    <c:v>Abelseth, Mr. Olaus Jorgensen</c:v>
                  </c:pt>
                  <c:pt idx="40">
                    <c:v>Aldworth, Mr. Charles Augustus</c:v>
                  </c:pt>
                  <c:pt idx="41">
                    <c:v>Assaf, Mr. Gerios</c:v>
                  </c:pt>
                  <c:pt idx="42">
                    <c:v>Birnbaum, Mr. Jakob</c:v>
                  </c:pt>
                  <c:pt idx="43">
                    <c:v>Bjorklund, Mr. Ernst Herbert</c:v>
                  </c:pt>
                  <c:pt idx="44">
                    <c:v>Boulos, Master. Akar</c:v>
                  </c:pt>
                  <c:pt idx="45">
                    <c:v>Brady, Mr. John Bertram</c:v>
                  </c:pt>
                  <c:pt idx="46">
                    <c:v>Caldwell, Mr. Albert Francis</c:v>
                  </c:pt>
                  <c:pt idx="47">
                    <c:v>Case, Mr. Howard Brown</c:v>
                  </c:pt>
                  <c:pt idx="48">
                    <c:v>Chevre, Mr. Paul Romaine</c:v>
                  </c:pt>
                  <c:pt idx="49">
                    <c:v>Cor, Mr. Bartol</c:v>
                  </c:pt>
                  <c:pt idx="50">
                    <c:v>Daher, Mr. Shedid</c:v>
                  </c:pt>
                  <c:pt idx="51">
                    <c:v>Davies, Mr. John Samuel</c:v>
                  </c:pt>
                  <c:pt idx="52">
                    <c:v>Davison, Mr. Thomas Henry</c:v>
                  </c:pt>
                  <c:pt idx="53">
                    <c:v>Demetri, Mr. Marinko</c:v>
                  </c:pt>
                  <c:pt idx="54">
                    <c:v>Dika, Mr. Mirko</c:v>
                  </c:pt>
                  <c:pt idx="55">
                    <c:v>Franklin, Mr. Thomas Parham</c:v>
                  </c:pt>
                  <c:pt idx="56">
                    <c:v>Goldsmith, Mr. Nathan</c:v>
                  </c:pt>
                  <c:pt idx="57">
                    <c:v>Guest, Mr. Robert</c:v>
                  </c:pt>
                  <c:pt idx="58">
                    <c:v>Hee, Mr. Ling</c:v>
                  </c:pt>
                  <c:pt idx="59">
                    <c:v>Howard, Mr. Benjamin</c:v>
                  </c:pt>
                  <c:pt idx="60">
                    <c:v>Ilieff, Mr. Ylio</c:v>
                  </c:pt>
                  <c:pt idx="61">
                    <c:v>Jefferys, Mr. Clifford Thomas</c:v>
                  </c:pt>
                  <c:pt idx="62">
                    <c:v>Jones, Mr. Charles Cresson</c:v>
                  </c:pt>
                  <c:pt idx="63">
                    <c:v>Karun, Mr. Franz</c:v>
                  </c:pt>
                  <c:pt idx="64">
                    <c:v>Katavelas, Mr. Vassilios (Catavelas Vassilios")"</c:v>
                  </c:pt>
                  <c:pt idx="65">
                    <c:v>Keane, Mr. Daniel</c:v>
                  </c:pt>
                  <c:pt idx="66">
                    <c:v>Keeping, Mr. Edwin</c:v>
                  </c:pt>
                  <c:pt idx="67">
                    <c:v>Kelly, Mr. James</c:v>
                  </c:pt>
                  <c:pt idx="68">
                    <c:v>Khalil, Mr. Betros</c:v>
                  </c:pt>
                  <c:pt idx="69">
                    <c:v>Lamb, Mr. John Joseph</c:v>
                  </c:pt>
                  <c:pt idx="70">
                    <c:v>Louch, Mr. Charles Alexander</c:v>
                  </c:pt>
                  <c:pt idx="71">
                    <c:v>Makinen, Mr. Kalle Edvard</c:v>
                  </c:pt>
                  <c:pt idx="72">
                    <c:v>Mangiavacchi, Mr. Serafino Emilio</c:v>
                  </c:pt>
                  <c:pt idx="73">
                    <c:v>McCrae, Mr. Arthur Gordon</c:v>
                  </c:pt>
                  <c:pt idx="74">
                    <c:v>Miles, Mr. Frank</c:v>
                  </c:pt>
                  <c:pt idx="75">
                    <c:v>Minkoff, Mr. Lazar</c:v>
                  </c:pt>
                  <c:pt idx="76">
                    <c:v>Mock, Mr. Philipp Edmund</c:v>
                  </c:pt>
                  <c:pt idx="77">
                    <c:v>Moore, Mr. Clarence Bloomfield</c:v>
                  </c:pt>
                  <c:pt idx="78">
                    <c:v>Myles, Mr. Thomas Francis</c:v>
                  </c:pt>
                  <c:pt idx="79">
                    <c:v>Nancarrow, Mr. William Henry</c:v>
                  </c:pt>
                  <c:pt idx="80">
                    <c:v>Olsen, Master. Artur Karl</c:v>
                  </c:pt>
                  <c:pt idx="81">
                    <c:v>Ovies y Rodriguez, Mr. Servando</c:v>
                  </c:pt>
                  <c:pt idx="82">
                    <c:v>Pedersen, Mr. Olaf</c:v>
                  </c:pt>
                  <c:pt idx="83">
                    <c:v>Peltomaki, Mr. Nikolai Johannes</c:v>
                  </c:pt>
                  <c:pt idx="84">
                    <c:v>Pulbaum, Mr. Franz</c:v>
                  </c:pt>
                  <c:pt idx="85">
                    <c:v>Rice, Master. Albert</c:v>
                  </c:pt>
                  <c:pt idx="86">
                    <c:v>Robins, Mr. Alexander A</c:v>
                  </c:pt>
                  <c:pt idx="87">
                    <c:v>Rothschild, Mr. Martin</c:v>
                  </c:pt>
                  <c:pt idx="88">
                    <c:v>Ryerson, Master. John Borie</c:v>
                  </c:pt>
                  <c:pt idx="89">
                    <c:v>Samaan, Mr. Elias</c:v>
                  </c:pt>
                  <c:pt idx="90">
                    <c:v>Sap, Mr. Julius</c:v>
                  </c:pt>
                  <c:pt idx="91">
                    <c:v>Shaughnessy, Mr. Patrick</c:v>
                  </c:pt>
                  <c:pt idx="92">
                    <c:v>Smith, Mr. Lucien Philip</c:v>
                  </c:pt>
                  <c:pt idx="93">
                    <c:v>Straus, Mr. Isidor</c:v>
                  </c:pt>
                  <c:pt idx="94">
                    <c:v>Svensson, Mr. Johan Cervin</c:v>
                  </c:pt>
                  <c:pt idx="95">
                    <c:v>Tenglin, Mr. Gunnar Isidor</c:v>
                  </c:pt>
                  <c:pt idx="96">
                    <c:v>Tucker, Mr. Gilbert Milligan Jr</c:v>
                  </c:pt>
                  <c:pt idx="97">
                    <c:v>Wells, Master. Ralph Lester</c:v>
                  </c:pt>
                  <c:pt idx="98">
                    <c:v>Williams, Mr. Richard Norris II</c:v>
                  </c:pt>
                  <c:pt idx="99">
                    <c:v>Wirz, Mr. Albert</c:v>
                  </c:pt>
                </c:lvl>
                <c:lvl>
                  <c:pt idx="0">
                    <c:v>female</c:v>
                  </c:pt>
                  <c:pt idx="39">
                    <c:v>male</c:v>
                  </c:pt>
                </c:lvl>
              </c:multiLvlStrCache>
            </c:multiLvlStrRef>
          </c:cat>
          <c:val>
            <c:numRef>
              <c:f>'Pivot Table &amp; Chart'!$B$4:$B$106</c:f>
              <c:numCache>
                <c:formatCode>General</c:formatCode>
                <c:ptCount val="10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xmlns:c16r2="http://schemas.microsoft.com/office/drawing/2015/06/chart">
            <c:ext xmlns:c16="http://schemas.microsoft.com/office/drawing/2014/chart" uri="{C3380CC4-5D6E-409C-BE32-E72D297353CC}">
              <c16:uniqueId val="{00000000-D820-48E4-8416-7C737324809C}"/>
            </c:ext>
          </c:extLst>
        </c:ser>
        <c:ser>
          <c:idx val="1"/>
          <c:order val="1"/>
          <c:tx>
            <c:strRef>
              <c:f>'Pivot Table &amp; Chart'!$C$3</c:f>
              <c:strCache>
                <c:ptCount val="1"/>
                <c:pt idx="0">
                  <c:v>Sum of Age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 &amp; Chart'!$A$4:$A$106</c:f>
              <c:multiLvlStrCache>
                <c:ptCount val="100"/>
                <c:lvl>
                  <c:pt idx="0">
                    <c:v>Abrahim, Mrs. Joseph (Sophie Halaut Easu)</c:v>
                  </c:pt>
                  <c:pt idx="1">
                    <c:v>Assaf Khalil, Mrs. Mariana (Miriam")"</c:v>
                  </c:pt>
                  <c:pt idx="2">
                    <c:v>Badman, Miss. Emily Louisa</c:v>
                  </c:pt>
                  <c:pt idx="3">
                    <c:v>Barry, Miss. Julia</c:v>
                  </c:pt>
                  <c:pt idx="4">
                    <c:v>Bradley, Miss. Bridget Delia</c:v>
                  </c:pt>
                  <c:pt idx="5">
                    <c:v>Braf, Miss. Elin Ester Maria</c:v>
                  </c:pt>
                  <c:pt idx="6">
                    <c:v>Bucknell, Mrs. William Robert (Emma Eliza Ward)</c:v>
                  </c:pt>
                  <c:pt idx="7">
                    <c:v>Burns, Miss. Mary Delia</c:v>
                  </c:pt>
                  <c:pt idx="8">
                    <c:v>Cacic, Miss. Manda</c:v>
                  </c:pt>
                  <c:pt idx="9">
                    <c:v>Cavendish, Mrs. Tyrell William (Julia Florence Siegel)</c:v>
                  </c:pt>
                  <c:pt idx="10">
                    <c:v>Chaffee, Mrs. Herbert Fuller (Carrie Constance Toogood)</c:v>
                  </c:pt>
                  <c:pt idx="11">
                    <c:v>Chaudanson, Miss. Victorine</c:v>
                  </c:pt>
                  <c:pt idx="12">
                    <c:v>Connolly, Miss. Kate</c:v>
                  </c:pt>
                  <c:pt idx="13">
                    <c:v>Corbett, Mrs. Walter H (Irene Colvin)</c:v>
                  </c:pt>
                  <c:pt idx="14">
                    <c:v>Corey, Mrs. Percy C (Mary Phyllis Elizabeth Miller)</c:v>
                  </c:pt>
                  <c:pt idx="15">
                    <c:v>Cornell, Mrs. Robert Clifford (Malvina Helen Lamson)</c:v>
                  </c:pt>
                  <c:pt idx="16">
                    <c:v>Coutts, Mrs. William (Winnie Minnie" Treanor)"</c:v>
                  </c:pt>
                  <c:pt idx="17">
                    <c:v>Davidson, Mrs. Thornton (Orian Hays)</c:v>
                  </c:pt>
                  <c:pt idx="18">
                    <c:v>Dean, Mrs. Bertram (Eva Georgetta Light)</c:v>
                  </c:pt>
                  <c:pt idx="19">
                    <c:v>del Carlo, Mrs. Sebastiano (Argenia Genovesi)</c:v>
                  </c:pt>
                  <c:pt idx="20">
                    <c:v>Doyle, Miss. Elizabeth</c:v>
                  </c:pt>
                  <c:pt idx="21">
                    <c:v>Dyker, Mrs. Adolf Fredrik (Anna Elisabeth Judith Andersson)</c:v>
                  </c:pt>
                  <c:pt idx="22">
                    <c:v>Flegenheim, Mrs. Alfred (Antoinette)</c:v>
                  </c:pt>
                  <c:pt idx="23">
                    <c:v>Fortune, Miss. Ethel Flora</c:v>
                  </c:pt>
                  <c:pt idx="24">
                    <c:v>Fortune, Mrs. Mark (Mary McDougald)</c:v>
                  </c:pt>
                  <c:pt idx="25">
                    <c:v>Geiger, Miss. Amalie</c:v>
                  </c:pt>
                  <c:pt idx="26">
                    <c:v>Hirvonen, Mrs. Alexander (Helga E Lindqvist)</c:v>
                  </c:pt>
                  <c:pt idx="27">
                    <c:v>Hocking, Miss. Ellen Nellie""</c:v>
                  </c:pt>
                  <c:pt idx="28">
                    <c:v>Ilmakangas, Miss. Ida Livija</c:v>
                  </c:pt>
                  <c:pt idx="29">
                    <c:v>Johnston, Mrs. Andrew G (Elizabeth Lily" Watson)"</c:v>
                  </c:pt>
                  <c:pt idx="30">
                    <c:v>Kimball, Mrs. Edwin Nelson Jr (Gertrude Parsons)</c:v>
                  </c:pt>
                  <c:pt idx="31">
                    <c:v>Mulvihill, Miss. Bertha E</c:v>
                  </c:pt>
                  <c:pt idx="32">
                    <c:v>Nieminen, Miss. Manta Josefina</c:v>
                  </c:pt>
                  <c:pt idx="33">
                    <c:v>O'Donoghue, Ms. Bridget</c:v>
                  </c:pt>
                  <c:pt idx="34">
                    <c:v>Ostby, Miss. Helene Ragnhild</c:v>
                  </c:pt>
                  <c:pt idx="35">
                    <c:v>Roth, Miss. Sarah A</c:v>
                  </c:pt>
                  <c:pt idx="36">
                    <c:v>Ryerson, Mrs. Arthur Larned (Emily Maria Borie)</c:v>
                  </c:pt>
                  <c:pt idx="37">
                    <c:v>Snyder, Mrs. John Pillsbury (Nelle Stevenson)</c:v>
                  </c:pt>
                  <c:pt idx="38">
                    <c:v>Wilkes, Mrs. James (Ellen Needs)</c:v>
                  </c:pt>
                  <c:pt idx="39">
                    <c:v>Abelseth, Mr. Olaus Jorgensen</c:v>
                  </c:pt>
                  <c:pt idx="40">
                    <c:v>Aldworth, Mr. Charles Augustus</c:v>
                  </c:pt>
                  <c:pt idx="41">
                    <c:v>Assaf, Mr. Gerios</c:v>
                  </c:pt>
                  <c:pt idx="42">
                    <c:v>Birnbaum, Mr. Jakob</c:v>
                  </c:pt>
                  <c:pt idx="43">
                    <c:v>Bjorklund, Mr. Ernst Herbert</c:v>
                  </c:pt>
                  <c:pt idx="44">
                    <c:v>Boulos, Master. Akar</c:v>
                  </c:pt>
                  <c:pt idx="45">
                    <c:v>Brady, Mr. John Bertram</c:v>
                  </c:pt>
                  <c:pt idx="46">
                    <c:v>Caldwell, Mr. Albert Francis</c:v>
                  </c:pt>
                  <c:pt idx="47">
                    <c:v>Case, Mr. Howard Brown</c:v>
                  </c:pt>
                  <c:pt idx="48">
                    <c:v>Chevre, Mr. Paul Romaine</c:v>
                  </c:pt>
                  <c:pt idx="49">
                    <c:v>Cor, Mr. Bartol</c:v>
                  </c:pt>
                  <c:pt idx="50">
                    <c:v>Daher, Mr. Shedid</c:v>
                  </c:pt>
                  <c:pt idx="51">
                    <c:v>Davies, Mr. John Samuel</c:v>
                  </c:pt>
                  <c:pt idx="52">
                    <c:v>Davison, Mr. Thomas Henry</c:v>
                  </c:pt>
                  <c:pt idx="53">
                    <c:v>Demetri, Mr. Marinko</c:v>
                  </c:pt>
                  <c:pt idx="54">
                    <c:v>Dika, Mr. Mirko</c:v>
                  </c:pt>
                  <c:pt idx="55">
                    <c:v>Franklin, Mr. Thomas Parham</c:v>
                  </c:pt>
                  <c:pt idx="56">
                    <c:v>Goldsmith, Mr. Nathan</c:v>
                  </c:pt>
                  <c:pt idx="57">
                    <c:v>Guest, Mr. Robert</c:v>
                  </c:pt>
                  <c:pt idx="58">
                    <c:v>Hee, Mr. Ling</c:v>
                  </c:pt>
                  <c:pt idx="59">
                    <c:v>Howard, Mr. Benjamin</c:v>
                  </c:pt>
                  <c:pt idx="60">
                    <c:v>Ilieff, Mr. Ylio</c:v>
                  </c:pt>
                  <c:pt idx="61">
                    <c:v>Jefferys, Mr. Clifford Thomas</c:v>
                  </c:pt>
                  <c:pt idx="62">
                    <c:v>Jones, Mr. Charles Cresson</c:v>
                  </c:pt>
                  <c:pt idx="63">
                    <c:v>Karun, Mr. Franz</c:v>
                  </c:pt>
                  <c:pt idx="64">
                    <c:v>Katavelas, Mr. Vassilios (Catavelas Vassilios")"</c:v>
                  </c:pt>
                  <c:pt idx="65">
                    <c:v>Keane, Mr. Daniel</c:v>
                  </c:pt>
                  <c:pt idx="66">
                    <c:v>Keeping, Mr. Edwin</c:v>
                  </c:pt>
                  <c:pt idx="67">
                    <c:v>Kelly, Mr. James</c:v>
                  </c:pt>
                  <c:pt idx="68">
                    <c:v>Khalil, Mr. Betros</c:v>
                  </c:pt>
                  <c:pt idx="69">
                    <c:v>Lamb, Mr. John Joseph</c:v>
                  </c:pt>
                  <c:pt idx="70">
                    <c:v>Louch, Mr. Charles Alexander</c:v>
                  </c:pt>
                  <c:pt idx="71">
                    <c:v>Makinen, Mr. Kalle Edvard</c:v>
                  </c:pt>
                  <c:pt idx="72">
                    <c:v>Mangiavacchi, Mr. Serafino Emilio</c:v>
                  </c:pt>
                  <c:pt idx="73">
                    <c:v>McCrae, Mr. Arthur Gordon</c:v>
                  </c:pt>
                  <c:pt idx="74">
                    <c:v>Miles, Mr. Frank</c:v>
                  </c:pt>
                  <c:pt idx="75">
                    <c:v>Minkoff, Mr. Lazar</c:v>
                  </c:pt>
                  <c:pt idx="76">
                    <c:v>Mock, Mr. Philipp Edmund</c:v>
                  </c:pt>
                  <c:pt idx="77">
                    <c:v>Moore, Mr. Clarence Bloomfield</c:v>
                  </c:pt>
                  <c:pt idx="78">
                    <c:v>Myles, Mr. Thomas Francis</c:v>
                  </c:pt>
                  <c:pt idx="79">
                    <c:v>Nancarrow, Mr. William Henry</c:v>
                  </c:pt>
                  <c:pt idx="80">
                    <c:v>Olsen, Master. Artur Karl</c:v>
                  </c:pt>
                  <c:pt idx="81">
                    <c:v>Ovies y Rodriguez, Mr. Servando</c:v>
                  </c:pt>
                  <c:pt idx="82">
                    <c:v>Pedersen, Mr. Olaf</c:v>
                  </c:pt>
                  <c:pt idx="83">
                    <c:v>Peltomaki, Mr. Nikolai Johannes</c:v>
                  </c:pt>
                  <c:pt idx="84">
                    <c:v>Pulbaum, Mr. Franz</c:v>
                  </c:pt>
                  <c:pt idx="85">
                    <c:v>Rice, Master. Albert</c:v>
                  </c:pt>
                  <c:pt idx="86">
                    <c:v>Robins, Mr. Alexander A</c:v>
                  </c:pt>
                  <c:pt idx="87">
                    <c:v>Rothschild, Mr. Martin</c:v>
                  </c:pt>
                  <c:pt idx="88">
                    <c:v>Ryerson, Master. John Borie</c:v>
                  </c:pt>
                  <c:pt idx="89">
                    <c:v>Samaan, Mr. Elias</c:v>
                  </c:pt>
                  <c:pt idx="90">
                    <c:v>Sap, Mr. Julius</c:v>
                  </c:pt>
                  <c:pt idx="91">
                    <c:v>Shaughnessy, Mr. Patrick</c:v>
                  </c:pt>
                  <c:pt idx="92">
                    <c:v>Smith, Mr. Lucien Philip</c:v>
                  </c:pt>
                  <c:pt idx="93">
                    <c:v>Straus, Mr. Isidor</c:v>
                  </c:pt>
                  <c:pt idx="94">
                    <c:v>Svensson, Mr. Johan Cervin</c:v>
                  </c:pt>
                  <c:pt idx="95">
                    <c:v>Tenglin, Mr. Gunnar Isidor</c:v>
                  </c:pt>
                  <c:pt idx="96">
                    <c:v>Tucker, Mr. Gilbert Milligan Jr</c:v>
                  </c:pt>
                  <c:pt idx="97">
                    <c:v>Wells, Master. Ralph Lester</c:v>
                  </c:pt>
                  <c:pt idx="98">
                    <c:v>Williams, Mr. Richard Norris II</c:v>
                  </c:pt>
                  <c:pt idx="99">
                    <c:v>Wirz, Mr. Albert</c:v>
                  </c:pt>
                </c:lvl>
                <c:lvl>
                  <c:pt idx="0">
                    <c:v>female</c:v>
                  </c:pt>
                  <c:pt idx="39">
                    <c:v>male</c:v>
                  </c:pt>
                </c:lvl>
              </c:multiLvlStrCache>
            </c:multiLvlStrRef>
          </c:cat>
          <c:val>
            <c:numRef>
              <c:f>'Pivot Table &amp; Chart'!$C$4:$C$106</c:f>
              <c:numCache>
                <c:formatCode>General</c:formatCode>
                <c:ptCount val="100"/>
                <c:pt idx="0">
                  <c:v>18</c:v>
                </c:pt>
                <c:pt idx="1">
                  <c:v>45</c:v>
                </c:pt>
                <c:pt idx="2">
                  <c:v>18</c:v>
                </c:pt>
                <c:pt idx="3">
                  <c:v>27</c:v>
                </c:pt>
                <c:pt idx="4">
                  <c:v>22</c:v>
                </c:pt>
                <c:pt idx="5">
                  <c:v>20</c:v>
                </c:pt>
                <c:pt idx="6">
                  <c:v>60</c:v>
                </c:pt>
                <c:pt idx="7">
                  <c:v>18</c:v>
                </c:pt>
                <c:pt idx="8">
                  <c:v>21</c:v>
                </c:pt>
                <c:pt idx="9">
                  <c:v>76</c:v>
                </c:pt>
                <c:pt idx="10">
                  <c:v>47</c:v>
                </c:pt>
                <c:pt idx="11">
                  <c:v>36</c:v>
                </c:pt>
                <c:pt idx="12">
                  <c:v>30</c:v>
                </c:pt>
                <c:pt idx="13">
                  <c:v>30</c:v>
                </c:pt>
                <c:pt idx="15">
                  <c:v>55</c:v>
                </c:pt>
                <c:pt idx="16">
                  <c:v>36</c:v>
                </c:pt>
                <c:pt idx="17">
                  <c:v>27</c:v>
                </c:pt>
                <c:pt idx="18">
                  <c:v>33</c:v>
                </c:pt>
                <c:pt idx="19">
                  <c:v>24</c:v>
                </c:pt>
                <c:pt idx="20">
                  <c:v>24</c:v>
                </c:pt>
                <c:pt idx="21">
                  <c:v>22</c:v>
                </c:pt>
                <c:pt idx="23">
                  <c:v>28</c:v>
                </c:pt>
                <c:pt idx="24">
                  <c:v>60</c:v>
                </c:pt>
                <c:pt idx="25">
                  <c:v>35</c:v>
                </c:pt>
                <c:pt idx="26">
                  <c:v>22</c:v>
                </c:pt>
                <c:pt idx="27">
                  <c:v>20</c:v>
                </c:pt>
                <c:pt idx="28">
                  <c:v>27</c:v>
                </c:pt>
                <c:pt idx="30">
                  <c:v>45</c:v>
                </c:pt>
                <c:pt idx="31">
                  <c:v>24</c:v>
                </c:pt>
                <c:pt idx="32">
                  <c:v>29</c:v>
                </c:pt>
                <c:pt idx="34">
                  <c:v>22</c:v>
                </c:pt>
                <c:pt idx="36">
                  <c:v>48</c:v>
                </c:pt>
                <c:pt idx="37">
                  <c:v>23</c:v>
                </c:pt>
                <c:pt idx="38">
                  <c:v>47</c:v>
                </c:pt>
                <c:pt idx="39">
                  <c:v>25</c:v>
                </c:pt>
                <c:pt idx="40">
                  <c:v>30</c:v>
                </c:pt>
                <c:pt idx="41">
                  <c:v>21</c:v>
                </c:pt>
                <c:pt idx="42">
                  <c:v>25</c:v>
                </c:pt>
                <c:pt idx="43">
                  <c:v>18</c:v>
                </c:pt>
                <c:pt idx="44">
                  <c:v>6</c:v>
                </c:pt>
                <c:pt idx="45">
                  <c:v>41</c:v>
                </c:pt>
                <c:pt idx="46">
                  <c:v>26</c:v>
                </c:pt>
                <c:pt idx="47">
                  <c:v>49</c:v>
                </c:pt>
                <c:pt idx="48">
                  <c:v>45</c:v>
                </c:pt>
                <c:pt idx="49">
                  <c:v>35</c:v>
                </c:pt>
                <c:pt idx="50">
                  <c:v>22.5</c:v>
                </c:pt>
                <c:pt idx="51">
                  <c:v>21</c:v>
                </c:pt>
                <c:pt idx="54">
                  <c:v>17</c:v>
                </c:pt>
                <c:pt idx="56">
                  <c:v>41</c:v>
                </c:pt>
                <c:pt idx="59">
                  <c:v>63</c:v>
                </c:pt>
                <c:pt idx="61">
                  <c:v>24</c:v>
                </c:pt>
                <c:pt idx="62">
                  <c:v>46</c:v>
                </c:pt>
                <c:pt idx="63">
                  <c:v>39</c:v>
                </c:pt>
                <c:pt idx="64">
                  <c:v>18.5</c:v>
                </c:pt>
                <c:pt idx="65">
                  <c:v>35</c:v>
                </c:pt>
                <c:pt idx="66">
                  <c:v>32.5</c:v>
                </c:pt>
                <c:pt idx="67">
                  <c:v>34.5</c:v>
                </c:pt>
                <c:pt idx="70">
                  <c:v>50</c:v>
                </c:pt>
                <c:pt idx="71">
                  <c:v>29</c:v>
                </c:pt>
                <c:pt idx="73">
                  <c:v>32</c:v>
                </c:pt>
                <c:pt idx="75">
                  <c:v>21</c:v>
                </c:pt>
                <c:pt idx="76">
                  <c:v>30</c:v>
                </c:pt>
                <c:pt idx="77">
                  <c:v>47</c:v>
                </c:pt>
                <c:pt idx="78">
                  <c:v>62</c:v>
                </c:pt>
                <c:pt idx="79">
                  <c:v>33</c:v>
                </c:pt>
                <c:pt idx="80">
                  <c:v>9</c:v>
                </c:pt>
                <c:pt idx="81">
                  <c:v>28.5</c:v>
                </c:pt>
                <c:pt idx="83">
                  <c:v>25</c:v>
                </c:pt>
                <c:pt idx="84">
                  <c:v>27</c:v>
                </c:pt>
                <c:pt idx="85">
                  <c:v>10</c:v>
                </c:pt>
                <c:pt idx="86">
                  <c:v>50</c:v>
                </c:pt>
                <c:pt idx="87">
                  <c:v>55</c:v>
                </c:pt>
                <c:pt idx="88">
                  <c:v>13</c:v>
                </c:pt>
                <c:pt idx="90">
                  <c:v>25</c:v>
                </c:pt>
                <c:pt idx="92">
                  <c:v>24</c:v>
                </c:pt>
                <c:pt idx="93">
                  <c:v>67</c:v>
                </c:pt>
                <c:pt idx="94">
                  <c:v>14</c:v>
                </c:pt>
                <c:pt idx="95">
                  <c:v>25</c:v>
                </c:pt>
                <c:pt idx="96">
                  <c:v>31</c:v>
                </c:pt>
                <c:pt idx="97">
                  <c:v>2</c:v>
                </c:pt>
                <c:pt idx="98">
                  <c:v>21</c:v>
                </c:pt>
                <c:pt idx="99">
                  <c:v>27</c:v>
                </c:pt>
              </c:numCache>
            </c:numRef>
          </c:val>
          <c:extLst xmlns:c16r2="http://schemas.microsoft.com/office/drawing/2015/06/chart">
            <c:ext xmlns:c16="http://schemas.microsoft.com/office/drawing/2014/chart" uri="{C3380CC4-5D6E-409C-BE32-E72D297353CC}">
              <c16:uniqueId val="{00000001-D820-48E4-8416-7C737324809C}"/>
            </c:ext>
          </c:extLst>
        </c:ser>
        <c:dLbls>
          <c:showLegendKey val="0"/>
          <c:showVal val="0"/>
          <c:showCatName val="0"/>
          <c:showSerName val="0"/>
          <c:showPercent val="0"/>
          <c:showBubbleSize val="0"/>
        </c:dLbls>
        <c:gapWidth val="100"/>
        <c:overlap val="-24"/>
        <c:axId val="10379648"/>
        <c:axId val="10372032"/>
      </c:barChart>
      <c:catAx>
        <c:axId val="103796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72032"/>
        <c:crosses val="autoZero"/>
        <c:auto val="1"/>
        <c:lblAlgn val="ctr"/>
        <c:lblOffset val="100"/>
        <c:noMultiLvlLbl val="0"/>
      </c:catAx>
      <c:valAx>
        <c:axId val="103720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37964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glow rad="393700">
        <a:schemeClr val="accent1">
          <a:alpha val="40000"/>
        </a:schemeClr>
      </a:glow>
      <a:outerShdw blurRad="1231900" dist="508000" dir="5400000" algn="ctr" rotWithShape="0">
        <a:schemeClr val="accent1">
          <a:alpha val="56000"/>
        </a:schemeClr>
      </a:outerShdw>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Titanic Chart</a:t>
            </a:r>
          </a:p>
        </c:rich>
      </c:tx>
      <c:layout>
        <c:manualLayout>
          <c:xMode val="edge"/>
          <c:yMode val="edge"/>
          <c:x val="0.4539768311473924"/>
          <c:y val="1.6158818097876268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0.14800064025795454"/>
          <c:y val="0.16708326971593926"/>
          <c:w val="0.83953018372703414"/>
          <c:h val="0.45320100612423447"/>
        </c:manualLayout>
      </c:layout>
      <c:lineChart>
        <c:grouping val="standard"/>
        <c:varyColors val="0"/>
        <c:ser>
          <c:idx val="0"/>
          <c:order val="0"/>
          <c:tx>
            <c:strRef>
              <c:f>'Titanic Dataset'!$B$1</c:f>
              <c:strCache>
                <c:ptCount val="1"/>
                <c:pt idx="0">
                  <c:v>Survived</c:v>
                </c:pt>
              </c:strCache>
            </c:strRef>
          </c:tx>
          <c:spPr>
            <a:ln w="22225" cap="rnd">
              <a:solidFill>
                <a:schemeClr val="accent1"/>
              </a:solidFill>
            </a:ln>
            <a:effectLst>
              <a:glow rad="139700">
                <a:schemeClr val="accent1">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Dataset'!$B$2:$B$101</c:f>
              <c:numCache>
                <c:formatCode>General</c:formatCode>
                <c:ptCount val="100"/>
                <c:pt idx="0">
                  <c:v>0</c:v>
                </c:pt>
                <c:pt idx="1">
                  <c:v>1</c:v>
                </c:pt>
                <c:pt idx="2">
                  <c:v>0</c:v>
                </c:pt>
                <c:pt idx="3">
                  <c:v>0</c:v>
                </c:pt>
                <c:pt idx="4">
                  <c:v>1</c:v>
                </c:pt>
                <c:pt idx="5">
                  <c:v>0</c:v>
                </c:pt>
                <c:pt idx="6">
                  <c:v>1</c:v>
                </c:pt>
                <c:pt idx="7">
                  <c:v>0</c:v>
                </c:pt>
                <c:pt idx="8">
                  <c:v>1</c:v>
                </c:pt>
                <c:pt idx="9">
                  <c:v>0</c:v>
                </c:pt>
                <c:pt idx="10">
                  <c:v>0</c:v>
                </c:pt>
                <c:pt idx="11">
                  <c:v>0</c:v>
                </c:pt>
                <c:pt idx="12">
                  <c:v>1</c:v>
                </c:pt>
                <c:pt idx="13">
                  <c:v>0</c:v>
                </c:pt>
                <c:pt idx="14">
                  <c:v>1</c:v>
                </c:pt>
                <c:pt idx="15">
                  <c:v>1</c:v>
                </c:pt>
                <c:pt idx="16">
                  <c:v>0</c:v>
                </c:pt>
                <c:pt idx="17">
                  <c:v>0</c:v>
                </c:pt>
                <c:pt idx="18">
                  <c:v>1</c:v>
                </c:pt>
                <c:pt idx="19">
                  <c:v>1</c:v>
                </c:pt>
                <c:pt idx="20">
                  <c:v>0</c:v>
                </c:pt>
                <c:pt idx="21">
                  <c:v>0</c:v>
                </c:pt>
                <c:pt idx="22">
                  <c:v>1</c:v>
                </c:pt>
                <c:pt idx="23">
                  <c:v>0</c:v>
                </c:pt>
                <c:pt idx="24">
                  <c:v>1</c:v>
                </c:pt>
                <c:pt idx="25">
                  <c:v>0</c:v>
                </c:pt>
                <c:pt idx="26">
                  <c:v>1</c:v>
                </c:pt>
                <c:pt idx="27">
                  <c:v>0</c:v>
                </c:pt>
                <c:pt idx="28">
                  <c:v>0</c:v>
                </c:pt>
                <c:pt idx="29">
                  <c:v>0</c:v>
                </c:pt>
                <c:pt idx="30">
                  <c:v>0</c:v>
                </c:pt>
                <c:pt idx="31">
                  <c:v>0</c:v>
                </c:pt>
                <c:pt idx="32">
                  <c:v>1</c:v>
                </c:pt>
                <c:pt idx="33">
                  <c:v>1</c:v>
                </c:pt>
                <c:pt idx="34">
                  <c:v>0</c:v>
                </c:pt>
                <c:pt idx="35">
                  <c:v>0</c:v>
                </c:pt>
                <c:pt idx="36">
                  <c:v>1</c:v>
                </c:pt>
                <c:pt idx="37">
                  <c:v>1</c:v>
                </c:pt>
                <c:pt idx="38">
                  <c:v>0</c:v>
                </c:pt>
                <c:pt idx="39">
                  <c:v>0</c:v>
                </c:pt>
                <c:pt idx="40">
                  <c:v>0</c:v>
                </c:pt>
                <c:pt idx="41">
                  <c:v>0</c:v>
                </c:pt>
                <c:pt idx="42">
                  <c:v>0</c:v>
                </c:pt>
                <c:pt idx="43">
                  <c:v>1</c:v>
                </c:pt>
                <c:pt idx="44">
                  <c:v>1</c:v>
                </c:pt>
                <c:pt idx="45">
                  <c:v>0</c:v>
                </c:pt>
                <c:pt idx="46">
                  <c:v>0</c:v>
                </c:pt>
                <c:pt idx="47">
                  <c:v>0</c:v>
                </c:pt>
                <c:pt idx="48">
                  <c:v>1</c:v>
                </c:pt>
                <c:pt idx="49">
                  <c:v>1</c:v>
                </c:pt>
                <c:pt idx="50">
                  <c:v>0</c:v>
                </c:pt>
                <c:pt idx="51">
                  <c:v>0</c:v>
                </c:pt>
                <c:pt idx="52">
                  <c:v>1</c:v>
                </c:pt>
                <c:pt idx="53">
                  <c:v>1</c:v>
                </c:pt>
                <c:pt idx="54">
                  <c:v>0</c:v>
                </c:pt>
                <c:pt idx="55">
                  <c:v>0</c:v>
                </c:pt>
                <c:pt idx="56">
                  <c:v>0</c:v>
                </c:pt>
                <c:pt idx="57">
                  <c:v>0</c:v>
                </c:pt>
                <c:pt idx="58">
                  <c:v>0</c:v>
                </c:pt>
                <c:pt idx="59">
                  <c:v>1</c:v>
                </c:pt>
                <c:pt idx="60">
                  <c:v>0</c:v>
                </c:pt>
                <c:pt idx="61">
                  <c:v>0</c:v>
                </c:pt>
                <c:pt idx="62">
                  <c:v>0</c:v>
                </c:pt>
                <c:pt idx="63">
                  <c:v>1</c:v>
                </c:pt>
                <c:pt idx="64">
                  <c:v>0</c:v>
                </c:pt>
                <c:pt idx="65">
                  <c:v>1</c:v>
                </c:pt>
                <c:pt idx="66">
                  <c:v>1</c:v>
                </c:pt>
                <c:pt idx="67">
                  <c:v>0</c:v>
                </c:pt>
                <c:pt idx="68">
                  <c:v>0</c:v>
                </c:pt>
                <c:pt idx="69">
                  <c:v>1</c:v>
                </c:pt>
                <c:pt idx="70">
                  <c:v>1</c:v>
                </c:pt>
                <c:pt idx="71">
                  <c:v>0</c:v>
                </c:pt>
                <c:pt idx="72">
                  <c:v>1</c:v>
                </c:pt>
                <c:pt idx="73">
                  <c:v>0</c:v>
                </c:pt>
                <c:pt idx="74">
                  <c:v>1</c:v>
                </c:pt>
                <c:pt idx="75">
                  <c:v>0</c:v>
                </c:pt>
                <c:pt idx="76">
                  <c:v>0</c:v>
                </c:pt>
                <c:pt idx="77">
                  <c:v>1</c:v>
                </c:pt>
                <c:pt idx="78">
                  <c:v>0</c:v>
                </c:pt>
                <c:pt idx="79">
                  <c:v>1</c:v>
                </c:pt>
                <c:pt idx="80">
                  <c:v>0</c:v>
                </c:pt>
                <c:pt idx="81">
                  <c:v>0</c:v>
                </c:pt>
                <c:pt idx="82">
                  <c:v>0</c:v>
                </c:pt>
                <c:pt idx="83">
                  <c:v>0</c:v>
                </c:pt>
                <c:pt idx="84">
                  <c:v>0</c:v>
                </c:pt>
                <c:pt idx="85">
                  <c:v>0</c:v>
                </c:pt>
                <c:pt idx="86">
                  <c:v>1</c:v>
                </c:pt>
                <c:pt idx="87">
                  <c:v>1</c:v>
                </c:pt>
                <c:pt idx="88">
                  <c:v>1</c:v>
                </c:pt>
                <c:pt idx="89">
                  <c:v>0</c:v>
                </c:pt>
                <c:pt idx="90">
                  <c:v>1</c:v>
                </c:pt>
                <c:pt idx="91">
                  <c:v>0</c:v>
                </c:pt>
                <c:pt idx="92">
                  <c:v>1</c:v>
                </c:pt>
                <c:pt idx="93">
                  <c:v>0</c:v>
                </c:pt>
                <c:pt idx="94">
                  <c:v>0</c:v>
                </c:pt>
                <c:pt idx="95">
                  <c:v>0</c:v>
                </c:pt>
                <c:pt idx="96">
                  <c:v>1</c:v>
                </c:pt>
                <c:pt idx="97">
                  <c:v>0</c:v>
                </c:pt>
                <c:pt idx="98">
                  <c:v>1</c:v>
                </c:pt>
                <c:pt idx="99">
                  <c:v>0</c:v>
                </c:pt>
              </c:numCache>
            </c:numRef>
          </c:val>
          <c:smooth val="0"/>
          <c:extLst xmlns:c16r2="http://schemas.microsoft.com/office/drawing/2015/06/chart">
            <c:ext xmlns:c16="http://schemas.microsoft.com/office/drawing/2014/chart" uri="{C3380CC4-5D6E-409C-BE32-E72D297353CC}">
              <c16:uniqueId val="{00000000-B21D-47AB-AE24-152C1E4726A4}"/>
            </c:ext>
          </c:extLst>
        </c:ser>
        <c:ser>
          <c:idx val="1"/>
          <c:order val="1"/>
          <c:tx>
            <c:strRef>
              <c:f>'Titanic Dataset'!$C$1</c:f>
              <c:strCache>
                <c:ptCount val="1"/>
                <c:pt idx="0">
                  <c:v>Passenger class</c:v>
                </c:pt>
              </c:strCache>
            </c:strRef>
          </c:tx>
          <c:spPr>
            <a:ln w="22225" cap="rnd">
              <a:solidFill>
                <a:schemeClr val="accent2"/>
              </a:solidFill>
            </a:ln>
            <a:effectLst>
              <a:glow rad="139700">
                <a:schemeClr val="accent2">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Dataset'!$C$2:$C$101</c:f>
              <c:numCache>
                <c:formatCode>General</c:formatCode>
                <c:ptCount val="100"/>
                <c:pt idx="0">
                  <c:v>3</c:v>
                </c:pt>
                <c:pt idx="1">
                  <c:v>3</c:v>
                </c:pt>
                <c:pt idx="2">
                  <c:v>2</c:v>
                </c:pt>
                <c:pt idx="3">
                  <c:v>3</c:v>
                </c:pt>
                <c:pt idx="4">
                  <c:v>3</c:v>
                </c:pt>
                <c:pt idx="5">
                  <c:v>3</c:v>
                </c:pt>
                <c:pt idx="6">
                  <c:v>3</c:v>
                </c:pt>
                <c:pt idx="7">
                  <c:v>2</c:v>
                </c:pt>
                <c:pt idx="8">
                  <c:v>3</c:v>
                </c:pt>
                <c:pt idx="9">
                  <c:v>3</c:v>
                </c:pt>
                <c:pt idx="10">
                  <c:v>3</c:v>
                </c:pt>
                <c:pt idx="11">
                  <c:v>1</c:v>
                </c:pt>
                <c:pt idx="12">
                  <c:v>1</c:v>
                </c:pt>
                <c:pt idx="13">
                  <c:v>2</c:v>
                </c:pt>
                <c:pt idx="14">
                  <c:v>1</c:v>
                </c:pt>
                <c:pt idx="15">
                  <c:v>2</c:v>
                </c:pt>
                <c:pt idx="16">
                  <c:v>2</c:v>
                </c:pt>
                <c:pt idx="17">
                  <c:v>3</c:v>
                </c:pt>
                <c:pt idx="18">
                  <c:v>3</c:v>
                </c:pt>
                <c:pt idx="19">
                  <c:v>3</c:v>
                </c:pt>
                <c:pt idx="20">
                  <c:v>1</c:v>
                </c:pt>
                <c:pt idx="21">
                  <c:v>3</c:v>
                </c:pt>
                <c:pt idx="22">
                  <c:v>1</c:v>
                </c:pt>
                <c:pt idx="23">
                  <c:v>1</c:v>
                </c:pt>
                <c:pt idx="24">
                  <c:v>1</c:v>
                </c:pt>
                <c:pt idx="25">
                  <c:v>3</c:v>
                </c:pt>
                <c:pt idx="26">
                  <c:v>1</c:v>
                </c:pt>
                <c:pt idx="27">
                  <c:v>3</c:v>
                </c:pt>
                <c:pt idx="28">
                  <c:v>1</c:v>
                </c:pt>
                <c:pt idx="29">
                  <c:v>3</c:v>
                </c:pt>
                <c:pt idx="30">
                  <c:v>2</c:v>
                </c:pt>
                <c:pt idx="31">
                  <c:v>2</c:v>
                </c:pt>
                <c:pt idx="32">
                  <c:v>3</c:v>
                </c:pt>
                <c:pt idx="33">
                  <c:v>3</c:v>
                </c:pt>
                <c:pt idx="34">
                  <c:v>1</c:v>
                </c:pt>
                <c:pt idx="35">
                  <c:v>3</c:v>
                </c:pt>
                <c:pt idx="36">
                  <c:v>3</c:v>
                </c:pt>
                <c:pt idx="37">
                  <c:v>3</c:v>
                </c:pt>
                <c:pt idx="38">
                  <c:v>3</c:v>
                </c:pt>
                <c:pt idx="39">
                  <c:v>3</c:v>
                </c:pt>
                <c:pt idx="40">
                  <c:v>3</c:v>
                </c:pt>
                <c:pt idx="41">
                  <c:v>1</c:v>
                </c:pt>
                <c:pt idx="42">
                  <c:v>3</c:v>
                </c:pt>
                <c:pt idx="43">
                  <c:v>2</c:v>
                </c:pt>
                <c:pt idx="44">
                  <c:v>1</c:v>
                </c:pt>
                <c:pt idx="45">
                  <c:v>3</c:v>
                </c:pt>
                <c:pt idx="46">
                  <c:v>1</c:v>
                </c:pt>
                <c:pt idx="47">
                  <c:v>3</c:v>
                </c:pt>
                <c:pt idx="48">
                  <c:v>1</c:v>
                </c:pt>
                <c:pt idx="49">
                  <c:v>3</c:v>
                </c:pt>
                <c:pt idx="50">
                  <c:v>1</c:v>
                </c:pt>
                <c:pt idx="51">
                  <c:v>2</c:v>
                </c:pt>
                <c:pt idx="52">
                  <c:v>2</c:v>
                </c:pt>
                <c:pt idx="53">
                  <c:v>1</c:v>
                </c:pt>
                <c:pt idx="54">
                  <c:v>2</c:v>
                </c:pt>
                <c:pt idx="55">
                  <c:v>3</c:v>
                </c:pt>
                <c:pt idx="56">
                  <c:v>3</c:v>
                </c:pt>
                <c:pt idx="57">
                  <c:v>3</c:v>
                </c:pt>
                <c:pt idx="58">
                  <c:v>3</c:v>
                </c:pt>
                <c:pt idx="59">
                  <c:v>1</c:v>
                </c:pt>
                <c:pt idx="60">
                  <c:v>3</c:v>
                </c:pt>
                <c:pt idx="61">
                  <c:v>2</c:v>
                </c:pt>
                <c:pt idx="62">
                  <c:v>3</c:v>
                </c:pt>
                <c:pt idx="63">
                  <c:v>3</c:v>
                </c:pt>
                <c:pt idx="64">
                  <c:v>1</c:v>
                </c:pt>
                <c:pt idx="65">
                  <c:v>2</c:v>
                </c:pt>
                <c:pt idx="66">
                  <c:v>3</c:v>
                </c:pt>
                <c:pt idx="67">
                  <c:v>1</c:v>
                </c:pt>
                <c:pt idx="68">
                  <c:v>1</c:v>
                </c:pt>
                <c:pt idx="69">
                  <c:v>1</c:v>
                </c:pt>
                <c:pt idx="70">
                  <c:v>3</c:v>
                </c:pt>
                <c:pt idx="71">
                  <c:v>3</c:v>
                </c:pt>
                <c:pt idx="72">
                  <c:v>3</c:v>
                </c:pt>
                <c:pt idx="73">
                  <c:v>1</c:v>
                </c:pt>
                <c:pt idx="74">
                  <c:v>1</c:v>
                </c:pt>
                <c:pt idx="75">
                  <c:v>1</c:v>
                </c:pt>
                <c:pt idx="76">
                  <c:v>3</c:v>
                </c:pt>
                <c:pt idx="77">
                  <c:v>1</c:v>
                </c:pt>
                <c:pt idx="78">
                  <c:v>2</c:v>
                </c:pt>
                <c:pt idx="79">
                  <c:v>3</c:v>
                </c:pt>
                <c:pt idx="80">
                  <c:v>3</c:v>
                </c:pt>
                <c:pt idx="81">
                  <c:v>1</c:v>
                </c:pt>
                <c:pt idx="82">
                  <c:v>1</c:v>
                </c:pt>
                <c:pt idx="83">
                  <c:v>3</c:v>
                </c:pt>
                <c:pt idx="84">
                  <c:v>2</c:v>
                </c:pt>
                <c:pt idx="85">
                  <c:v>3</c:v>
                </c:pt>
                <c:pt idx="86">
                  <c:v>3</c:v>
                </c:pt>
                <c:pt idx="87">
                  <c:v>3</c:v>
                </c:pt>
                <c:pt idx="88">
                  <c:v>3</c:v>
                </c:pt>
                <c:pt idx="89">
                  <c:v>2</c:v>
                </c:pt>
                <c:pt idx="90">
                  <c:v>3</c:v>
                </c:pt>
                <c:pt idx="91">
                  <c:v>3</c:v>
                </c:pt>
                <c:pt idx="92">
                  <c:v>1</c:v>
                </c:pt>
                <c:pt idx="93">
                  <c:v>3</c:v>
                </c:pt>
                <c:pt idx="94">
                  <c:v>1</c:v>
                </c:pt>
                <c:pt idx="95">
                  <c:v>3</c:v>
                </c:pt>
                <c:pt idx="96">
                  <c:v>1</c:v>
                </c:pt>
                <c:pt idx="97">
                  <c:v>3</c:v>
                </c:pt>
                <c:pt idx="98">
                  <c:v>3</c:v>
                </c:pt>
                <c:pt idx="99">
                  <c:v>3</c:v>
                </c:pt>
              </c:numCache>
            </c:numRef>
          </c:val>
          <c:smooth val="0"/>
          <c:extLst xmlns:c16r2="http://schemas.microsoft.com/office/drawing/2015/06/chart">
            <c:ext xmlns:c16="http://schemas.microsoft.com/office/drawing/2014/chart" uri="{C3380CC4-5D6E-409C-BE32-E72D297353CC}">
              <c16:uniqueId val="{00000001-B21D-47AB-AE24-152C1E4726A4}"/>
            </c:ext>
          </c:extLst>
        </c:ser>
        <c:ser>
          <c:idx val="2"/>
          <c:order val="2"/>
          <c:tx>
            <c:strRef>
              <c:f>'Titanic Dataset'!$D$1</c:f>
              <c:strCache>
                <c:ptCount val="1"/>
                <c:pt idx="0">
                  <c:v>Name</c:v>
                </c:pt>
              </c:strCache>
            </c:strRef>
          </c:tx>
          <c:spPr>
            <a:ln w="22225" cap="rnd">
              <a:solidFill>
                <a:schemeClr val="accent3"/>
              </a:solidFill>
            </a:ln>
            <a:effectLst>
              <a:glow rad="139700">
                <a:schemeClr val="accent3">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Dataset'!$D$2:$D$101</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xmlns:c16r2="http://schemas.microsoft.com/office/drawing/2015/06/chart">
            <c:ext xmlns:c16="http://schemas.microsoft.com/office/drawing/2014/chart" uri="{C3380CC4-5D6E-409C-BE32-E72D297353CC}">
              <c16:uniqueId val="{00000002-B21D-47AB-AE24-152C1E4726A4}"/>
            </c:ext>
          </c:extLst>
        </c:ser>
        <c:ser>
          <c:idx val="3"/>
          <c:order val="3"/>
          <c:tx>
            <c:strRef>
              <c:f>'Titanic Dataset'!$E$1</c:f>
              <c:strCache>
                <c:ptCount val="1"/>
                <c:pt idx="0">
                  <c:v>Sex</c:v>
                </c:pt>
              </c:strCache>
            </c:strRef>
          </c:tx>
          <c:spPr>
            <a:ln w="22225" cap="rnd">
              <a:solidFill>
                <a:schemeClr val="accent4"/>
              </a:solidFill>
            </a:ln>
            <a:effectLst>
              <a:glow rad="139700">
                <a:schemeClr val="accent4">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Dataset'!$E$2:$E$101</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xmlns:c16r2="http://schemas.microsoft.com/office/drawing/2015/06/chart">
            <c:ext xmlns:c16="http://schemas.microsoft.com/office/drawing/2014/chart" uri="{C3380CC4-5D6E-409C-BE32-E72D297353CC}">
              <c16:uniqueId val="{00000003-B21D-47AB-AE24-152C1E4726A4}"/>
            </c:ext>
          </c:extLst>
        </c:ser>
        <c:ser>
          <c:idx val="4"/>
          <c:order val="4"/>
          <c:tx>
            <c:strRef>
              <c:f>'Titanic Dataset'!$F$1</c:f>
              <c:strCache>
                <c:ptCount val="1"/>
                <c:pt idx="0">
                  <c:v>Age</c:v>
                </c:pt>
              </c:strCache>
            </c:strRef>
          </c:tx>
          <c:spPr>
            <a:ln w="22225" cap="rnd">
              <a:solidFill>
                <a:schemeClr val="accent5"/>
              </a:solidFill>
            </a:ln>
            <a:effectLst>
              <a:glow rad="139700">
                <a:schemeClr val="accent5">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Dataset'!$F$2:$F$101</c:f>
              <c:numCache>
                <c:formatCode>General</c:formatCode>
                <c:ptCount val="100"/>
                <c:pt idx="0">
                  <c:v>34.5</c:v>
                </c:pt>
                <c:pt idx="1">
                  <c:v>47</c:v>
                </c:pt>
                <c:pt idx="2">
                  <c:v>62</c:v>
                </c:pt>
                <c:pt idx="3">
                  <c:v>27</c:v>
                </c:pt>
                <c:pt idx="4">
                  <c:v>22</c:v>
                </c:pt>
                <c:pt idx="5">
                  <c:v>14</c:v>
                </c:pt>
                <c:pt idx="6">
                  <c:v>30</c:v>
                </c:pt>
                <c:pt idx="7">
                  <c:v>26</c:v>
                </c:pt>
                <c:pt idx="8">
                  <c:v>18</c:v>
                </c:pt>
                <c:pt idx="9">
                  <c:v>21</c:v>
                </c:pt>
                <c:pt idx="11">
                  <c:v>46</c:v>
                </c:pt>
                <c:pt idx="12">
                  <c:v>23</c:v>
                </c:pt>
                <c:pt idx="13">
                  <c:v>63</c:v>
                </c:pt>
                <c:pt idx="14">
                  <c:v>47</c:v>
                </c:pt>
                <c:pt idx="15">
                  <c:v>24</c:v>
                </c:pt>
                <c:pt idx="16">
                  <c:v>35</c:v>
                </c:pt>
                <c:pt idx="17">
                  <c:v>21</c:v>
                </c:pt>
                <c:pt idx="18">
                  <c:v>27</c:v>
                </c:pt>
                <c:pt idx="19">
                  <c:v>45</c:v>
                </c:pt>
                <c:pt idx="20">
                  <c:v>55</c:v>
                </c:pt>
                <c:pt idx="21">
                  <c:v>9</c:v>
                </c:pt>
                <c:pt idx="23">
                  <c:v>21</c:v>
                </c:pt>
                <c:pt idx="24">
                  <c:v>48</c:v>
                </c:pt>
                <c:pt idx="25">
                  <c:v>50</c:v>
                </c:pt>
                <c:pt idx="26">
                  <c:v>22</c:v>
                </c:pt>
                <c:pt idx="27">
                  <c:v>22.5</c:v>
                </c:pt>
                <c:pt idx="28">
                  <c:v>41</c:v>
                </c:pt>
                <c:pt idx="30">
                  <c:v>50</c:v>
                </c:pt>
                <c:pt idx="31">
                  <c:v>24</c:v>
                </c:pt>
                <c:pt idx="32">
                  <c:v>33</c:v>
                </c:pt>
                <c:pt idx="34">
                  <c:v>30</c:v>
                </c:pt>
                <c:pt idx="35">
                  <c:v>18.5</c:v>
                </c:pt>
                <c:pt idx="37">
                  <c:v>21</c:v>
                </c:pt>
                <c:pt idx="38">
                  <c:v>25</c:v>
                </c:pt>
                <c:pt idx="40">
                  <c:v>39</c:v>
                </c:pt>
                <c:pt idx="42">
                  <c:v>41</c:v>
                </c:pt>
                <c:pt idx="43">
                  <c:v>30</c:v>
                </c:pt>
                <c:pt idx="44">
                  <c:v>45</c:v>
                </c:pt>
                <c:pt idx="45">
                  <c:v>25</c:v>
                </c:pt>
                <c:pt idx="46">
                  <c:v>45</c:v>
                </c:pt>
                <c:pt idx="48">
                  <c:v>60</c:v>
                </c:pt>
                <c:pt idx="49">
                  <c:v>36</c:v>
                </c:pt>
                <c:pt idx="50">
                  <c:v>24</c:v>
                </c:pt>
                <c:pt idx="51">
                  <c:v>27</c:v>
                </c:pt>
                <c:pt idx="52">
                  <c:v>20</c:v>
                </c:pt>
                <c:pt idx="53">
                  <c:v>28</c:v>
                </c:pt>
                <c:pt idx="55">
                  <c:v>10</c:v>
                </c:pt>
                <c:pt idx="56">
                  <c:v>35</c:v>
                </c:pt>
                <c:pt idx="57">
                  <c:v>25</c:v>
                </c:pt>
                <c:pt idx="59">
                  <c:v>36</c:v>
                </c:pt>
                <c:pt idx="60">
                  <c:v>17</c:v>
                </c:pt>
                <c:pt idx="61">
                  <c:v>32</c:v>
                </c:pt>
                <c:pt idx="62">
                  <c:v>18</c:v>
                </c:pt>
                <c:pt idx="63">
                  <c:v>22</c:v>
                </c:pt>
                <c:pt idx="64">
                  <c:v>13</c:v>
                </c:pt>
                <c:pt idx="66">
                  <c:v>18</c:v>
                </c:pt>
                <c:pt idx="67">
                  <c:v>47</c:v>
                </c:pt>
                <c:pt idx="68">
                  <c:v>31</c:v>
                </c:pt>
                <c:pt idx="69">
                  <c:v>60</c:v>
                </c:pt>
                <c:pt idx="70">
                  <c:v>24</c:v>
                </c:pt>
                <c:pt idx="71">
                  <c:v>21</c:v>
                </c:pt>
                <c:pt idx="72">
                  <c:v>29</c:v>
                </c:pt>
                <c:pt idx="73">
                  <c:v>28.5</c:v>
                </c:pt>
                <c:pt idx="74">
                  <c:v>35</c:v>
                </c:pt>
                <c:pt idx="75">
                  <c:v>32.5</c:v>
                </c:pt>
                <c:pt idx="77">
                  <c:v>55</c:v>
                </c:pt>
                <c:pt idx="78">
                  <c:v>30</c:v>
                </c:pt>
                <c:pt idx="79">
                  <c:v>24</c:v>
                </c:pt>
                <c:pt idx="80">
                  <c:v>6</c:v>
                </c:pt>
                <c:pt idx="81">
                  <c:v>67</c:v>
                </c:pt>
                <c:pt idx="82">
                  <c:v>49</c:v>
                </c:pt>
                <c:pt idx="86">
                  <c:v>27</c:v>
                </c:pt>
                <c:pt idx="87">
                  <c:v>18</c:v>
                </c:pt>
                <c:pt idx="89">
                  <c:v>2</c:v>
                </c:pt>
                <c:pt idx="90">
                  <c:v>22</c:v>
                </c:pt>
                <c:pt idx="92">
                  <c:v>27</c:v>
                </c:pt>
                <c:pt idx="94">
                  <c:v>25</c:v>
                </c:pt>
                <c:pt idx="95">
                  <c:v>25</c:v>
                </c:pt>
                <c:pt idx="96">
                  <c:v>76</c:v>
                </c:pt>
                <c:pt idx="97">
                  <c:v>29</c:v>
                </c:pt>
                <c:pt idx="98">
                  <c:v>20</c:v>
                </c:pt>
                <c:pt idx="99">
                  <c:v>33</c:v>
                </c:pt>
              </c:numCache>
            </c:numRef>
          </c:val>
          <c:smooth val="0"/>
          <c:extLst xmlns:c16r2="http://schemas.microsoft.com/office/drawing/2015/06/chart">
            <c:ext xmlns:c16="http://schemas.microsoft.com/office/drawing/2014/chart" uri="{C3380CC4-5D6E-409C-BE32-E72D297353CC}">
              <c16:uniqueId val="{00000004-B21D-47AB-AE24-152C1E4726A4}"/>
            </c:ext>
          </c:extLst>
        </c:ser>
        <c:ser>
          <c:idx val="5"/>
          <c:order val="5"/>
          <c:tx>
            <c:strRef>
              <c:f>'Titanic Dataset'!$G$1</c:f>
              <c:strCache>
                <c:ptCount val="1"/>
                <c:pt idx="0">
                  <c:v>Sibling</c:v>
                </c:pt>
              </c:strCache>
            </c:strRef>
          </c:tx>
          <c:spPr>
            <a:ln w="22225" cap="rnd">
              <a:solidFill>
                <a:schemeClr val="accent6"/>
              </a:solidFill>
            </a:ln>
            <a:effectLst>
              <a:glow rad="139700">
                <a:schemeClr val="accent6">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Dataset'!$G$2:$G$101</c:f>
              <c:numCache>
                <c:formatCode>General</c:formatCode>
                <c:ptCount val="100"/>
                <c:pt idx="0">
                  <c:v>0</c:v>
                </c:pt>
                <c:pt idx="1">
                  <c:v>1</c:v>
                </c:pt>
                <c:pt idx="2">
                  <c:v>0</c:v>
                </c:pt>
                <c:pt idx="3">
                  <c:v>0</c:v>
                </c:pt>
                <c:pt idx="4">
                  <c:v>1</c:v>
                </c:pt>
                <c:pt idx="5">
                  <c:v>0</c:v>
                </c:pt>
                <c:pt idx="6">
                  <c:v>0</c:v>
                </c:pt>
                <c:pt idx="7">
                  <c:v>1</c:v>
                </c:pt>
                <c:pt idx="8">
                  <c:v>0</c:v>
                </c:pt>
                <c:pt idx="9">
                  <c:v>2</c:v>
                </c:pt>
                <c:pt idx="10">
                  <c:v>0</c:v>
                </c:pt>
                <c:pt idx="11">
                  <c:v>0</c:v>
                </c:pt>
                <c:pt idx="12">
                  <c:v>1</c:v>
                </c:pt>
                <c:pt idx="13">
                  <c:v>1</c:v>
                </c:pt>
                <c:pt idx="14">
                  <c:v>1</c:v>
                </c:pt>
                <c:pt idx="15">
                  <c:v>1</c:v>
                </c:pt>
                <c:pt idx="16">
                  <c:v>0</c:v>
                </c:pt>
                <c:pt idx="17">
                  <c:v>0</c:v>
                </c:pt>
                <c:pt idx="18">
                  <c:v>1</c:v>
                </c:pt>
                <c:pt idx="19">
                  <c:v>0</c:v>
                </c:pt>
                <c:pt idx="20">
                  <c:v>1</c:v>
                </c:pt>
                <c:pt idx="21">
                  <c:v>0</c:v>
                </c:pt>
                <c:pt idx="22">
                  <c:v>0</c:v>
                </c:pt>
                <c:pt idx="23">
                  <c:v>0</c:v>
                </c:pt>
                <c:pt idx="24">
                  <c:v>1</c:v>
                </c:pt>
                <c:pt idx="25">
                  <c:v>1</c:v>
                </c:pt>
                <c:pt idx="26">
                  <c:v>0</c:v>
                </c:pt>
                <c:pt idx="27">
                  <c:v>0</c:v>
                </c:pt>
                <c:pt idx="28">
                  <c:v>0</c:v>
                </c:pt>
                <c:pt idx="29">
                  <c:v>2</c:v>
                </c:pt>
                <c:pt idx="30">
                  <c:v>1</c:v>
                </c:pt>
                <c:pt idx="31">
                  <c:v>2</c:v>
                </c:pt>
                <c:pt idx="32">
                  <c:v>1</c:v>
                </c:pt>
                <c:pt idx="33">
                  <c:v>1</c:v>
                </c:pt>
                <c:pt idx="34">
                  <c:v>1</c:v>
                </c:pt>
                <c:pt idx="35">
                  <c:v>0</c:v>
                </c:pt>
                <c:pt idx="36">
                  <c:v>0</c:v>
                </c:pt>
                <c:pt idx="37">
                  <c:v>0</c:v>
                </c:pt>
                <c:pt idx="38">
                  <c:v>0</c:v>
                </c:pt>
                <c:pt idx="39">
                  <c:v>0</c:v>
                </c:pt>
                <c:pt idx="40">
                  <c:v>0</c:v>
                </c:pt>
                <c:pt idx="41">
                  <c:v>0</c:v>
                </c:pt>
                <c:pt idx="42">
                  <c:v>0</c:v>
                </c:pt>
                <c:pt idx="43">
                  <c:v>0</c:v>
                </c:pt>
                <c:pt idx="44">
                  <c:v>1</c:v>
                </c:pt>
                <c:pt idx="45">
                  <c:v>0</c:v>
                </c:pt>
                <c:pt idx="46">
                  <c:v>0</c:v>
                </c:pt>
                <c:pt idx="47">
                  <c:v>0</c:v>
                </c:pt>
                <c:pt idx="48">
                  <c:v>0</c:v>
                </c:pt>
                <c:pt idx="49">
                  <c:v>0</c:v>
                </c:pt>
                <c:pt idx="50">
                  <c:v>1</c:v>
                </c:pt>
                <c:pt idx="51">
                  <c:v>0</c:v>
                </c:pt>
                <c:pt idx="52">
                  <c:v>2</c:v>
                </c:pt>
                <c:pt idx="53">
                  <c:v>3</c:v>
                </c:pt>
                <c:pt idx="54">
                  <c:v>0</c:v>
                </c:pt>
                <c:pt idx="55">
                  <c:v>4</c:v>
                </c:pt>
                <c:pt idx="56">
                  <c:v>0</c:v>
                </c:pt>
                <c:pt idx="57">
                  <c:v>0</c:v>
                </c:pt>
                <c:pt idx="58">
                  <c:v>1</c:v>
                </c:pt>
                <c:pt idx="59">
                  <c:v>0</c:v>
                </c:pt>
                <c:pt idx="60">
                  <c:v>0</c:v>
                </c:pt>
                <c:pt idx="61">
                  <c:v>0</c:v>
                </c:pt>
                <c:pt idx="62">
                  <c:v>0</c:v>
                </c:pt>
                <c:pt idx="63">
                  <c:v>0</c:v>
                </c:pt>
                <c:pt idx="64">
                  <c:v>2</c:v>
                </c:pt>
                <c:pt idx="65">
                  <c:v>0</c:v>
                </c:pt>
                <c:pt idx="66">
                  <c:v>0</c:v>
                </c:pt>
                <c:pt idx="67">
                  <c:v>0</c:v>
                </c:pt>
                <c:pt idx="68">
                  <c:v>0</c:v>
                </c:pt>
                <c:pt idx="69">
                  <c:v>1</c:v>
                </c:pt>
                <c:pt idx="70">
                  <c:v>0</c:v>
                </c:pt>
                <c:pt idx="71">
                  <c:v>0</c:v>
                </c:pt>
                <c:pt idx="72">
                  <c:v>0</c:v>
                </c:pt>
                <c:pt idx="73">
                  <c:v>0</c:v>
                </c:pt>
                <c:pt idx="74">
                  <c:v>0</c:v>
                </c:pt>
                <c:pt idx="75">
                  <c:v>0</c:v>
                </c:pt>
                <c:pt idx="76">
                  <c:v>0</c:v>
                </c:pt>
                <c:pt idx="77">
                  <c:v>2</c:v>
                </c:pt>
                <c:pt idx="78">
                  <c:v>0</c:v>
                </c:pt>
                <c:pt idx="79">
                  <c:v>0</c:v>
                </c:pt>
                <c:pt idx="80">
                  <c:v>1</c:v>
                </c:pt>
                <c:pt idx="81">
                  <c:v>1</c:v>
                </c:pt>
                <c:pt idx="82">
                  <c:v>0</c:v>
                </c:pt>
                <c:pt idx="83">
                  <c:v>0</c:v>
                </c:pt>
                <c:pt idx="84">
                  <c:v>0</c:v>
                </c:pt>
                <c:pt idx="85">
                  <c:v>1</c:v>
                </c:pt>
                <c:pt idx="86">
                  <c:v>0</c:v>
                </c:pt>
                <c:pt idx="87">
                  <c:v>0</c:v>
                </c:pt>
                <c:pt idx="88">
                  <c:v>0</c:v>
                </c:pt>
                <c:pt idx="89">
                  <c:v>1</c:v>
                </c:pt>
                <c:pt idx="90">
                  <c:v>1</c:v>
                </c:pt>
                <c:pt idx="91">
                  <c:v>0</c:v>
                </c:pt>
                <c:pt idx="92">
                  <c:v>1</c:v>
                </c:pt>
                <c:pt idx="93">
                  <c:v>0</c:v>
                </c:pt>
                <c:pt idx="94">
                  <c:v>0</c:v>
                </c:pt>
                <c:pt idx="95">
                  <c:v>0</c:v>
                </c:pt>
                <c:pt idx="96">
                  <c:v>1</c:v>
                </c:pt>
                <c:pt idx="97">
                  <c:v>0</c:v>
                </c:pt>
                <c:pt idx="98">
                  <c:v>0</c:v>
                </c:pt>
                <c:pt idx="99">
                  <c:v>0</c:v>
                </c:pt>
              </c:numCache>
            </c:numRef>
          </c:val>
          <c:smooth val="0"/>
          <c:extLst xmlns:c16r2="http://schemas.microsoft.com/office/drawing/2015/06/chart">
            <c:ext xmlns:c16="http://schemas.microsoft.com/office/drawing/2014/chart" uri="{C3380CC4-5D6E-409C-BE32-E72D297353CC}">
              <c16:uniqueId val="{00000005-B21D-47AB-AE24-152C1E4726A4}"/>
            </c:ext>
          </c:extLst>
        </c:ser>
        <c:ser>
          <c:idx val="6"/>
          <c:order val="6"/>
          <c:tx>
            <c:strRef>
              <c:f>'Titanic Dataset'!$H$1</c:f>
              <c:strCache>
                <c:ptCount val="1"/>
                <c:pt idx="0">
                  <c:v>No.of parents</c:v>
                </c:pt>
              </c:strCache>
            </c:strRef>
          </c:tx>
          <c:spPr>
            <a:ln w="22225" cap="rnd">
              <a:solidFill>
                <a:schemeClr val="accent1">
                  <a:lumMod val="60000"/>
                </a:schemeClr>
              </a:solidFill>
            </a:ln>
            <a:effectLst>
              <a:glow rad="139700">
                <a:schemeClr val="accent1">
                  <a:lumMod val="60000"/>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Dataset'!$H$2:$H$101</c:f>
              <c:numCache>
                <c:formatCode>General</c:formatCode>
                <c:ptCount val="100"/>
                <c:pt idx="0">
                  <c:v>0</c:v>
                </c:pt>
                <c:pt idx="1">
                  <c:v>0</c:v>
                </c:pt>
                <c:pt idx="2">
                  <c:v>0</c:v>
                </c:pt>
                <c:pt idx="3">
                  <c:v>0</c:v>
                </c:pt>
                <c:pt idx="4">
                  <c:v>1</c:v>
                </c:pt>
                <c:pt idx="5">
                  <c:v>0</c:v>
                </c:pt>
                <c:pt idx="6">
                  <c:v>0</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1</c:v>
                </c:pt>
                <c:pt idx="24">
                  <c:v>3</c:v>
                </c:pt>
                <c:pt idx="25">
                  <c:v>0</c:v>
                </c:pt>
                <c:pt idx="26">
                  <c:v>1</c:v>
                </c:pt>
                <c:pt idx="27">
                  <c:v>0</c:v>
                </c:pt>
                <c:pt idx="28">
                  <c:v>0</c:v>
                </c:pt>
                <c:pt idx="29">
                  <c:v>0</c:v>
                </c:pt>
                <c:pt idx="30">
                  <c:v>0</c:v>
                </c:pt>
                <c:pt idx="31">
                  <c:v>0</c:v>
                </c:pt>
                <c:pt idx="32">
                  <c:v>2</c:v>
                </c:pt>
                <c:pt idx="33">
                  <c:v>2</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2</c:v>
                </c:pt>
                <c:pt idx="50">
                  <c:v>0</c:v>
                </c:pt>
                <c:pt idx="51">
                  <c:v>0</c:v>
                </c:pt>
                <c:pt idx="52">
                  <c:v>1</c:v>
                </c:pt>
                <c:pt idx="53">
                  <c:v>2</c:v>
                </c:pt>
                <c:pt idx="54">
                  <c:v>0</c:v>
                </c:pt>
                <c:pt idx="55">
                  <c:v>1</c:v>
                </c:pt>
                <c:pt idx="56">
                  <c:v>0</c:v>
                </c:pt>
                <c:pt idx="57">
                  <c:v>0</c:v>
                </c:pt>
                <c:pt idx="58">
                  <c:v>0</c:v>
                </c:pt>
                <c:pt idx="59">
                  <c:v>0</c:v>
                </c:pt>
                <c:pt idx="60">
                  <c:v>0</c:v>
                </c:pt>
                <c:pt idx="61">
                  <c:v>0</c:v>
                </c:pt>
                <c:pt idx="62">
                  <c:v>0</c:v>
                </c:pt>
                <c:pt idx="63">
                  <c:v>0</c:v>
                </c:pt>
                <c:pt idx="64">
                  <c:v>2</c:v>
                </c:pt>
                <c:pt idx="65">
                  <c:v>0</c:v>
                </c:pt>
                <c:pt idx="66">
                  <c:v>0</c:v>
                </c:pt>
                <c:pt idx="67">
                  <c:v>0</c:v>
                </c:pt>
                <c:pt idx="68">
                  <c:v>0</c:v>
                </c:pt>
                <c:pt idx="69">
                  <c:v>4</c:v>
                </c:pt>
                <c:pt idx="70">
                  <c:v>0</c:v>
                </c:pt>
                <c:pt idx="71">
                  <c:v>0</c:v>
                </c:pt>
                <c:pt idx="72">
                  <c:v>0</c:v>
                </c:pt>
                <c:pt idx="73">
                  <c:v>0</c:v>
                </c:pt>
                <c:pt idx="74">
                  <c:v>0</c:v>
                </c:pt>
                <c:pt idx="75">
                  <c:v>0</c:v>
                </c:pt>
                <c:pt idx="76">
                  <c:v>0</c:v>
                </c:pt>
                <c:pt idx="77">
                  <c:v>0</c:v>
                </c:pt>
                <c:pt idx="78">
                  <c:v>0</c:v>
                </c:pt>
                <c:pt idx="79">
                  <c:v>0</c:v>
                </c:pt>
                <c:pt idx="80">
                  <c:v>1</c:v>
                </c:pt>
                <c:pt idx="81">
                  <c:v>0</c:v>
                </c:pt>
                <c:pt idx="82">
                  <c:v>0</c:v>
                </c:pt>
                <c:pt idx="83">
                  <c:v>0</c:v>
                </c:pt>
                <c:pt idx="84">
                  <c:v>0</c:v>
                </c:pt>
                <c:pt idx="85">
                  <c:v>0</c:v>
                </c:pt>
                <c:pt idx="86">
                  <c:v>0</c:v>
                </c:pt>
                <c:pt idx="87">
                  <c:v>0</c:v>
                </c:pt>
                <c:pt idx="88">
                  <c:v>0</c:v>
                </c:pt>
                <c:pt idx="89">
                  <c:v>1</c:v>
                </c:pt>
                <c:pt idx="90">
                  <c:v>0</c:v>
                </c:pt>
                <c:pt idx="91">
                  <c:v>0</c:v>
                </c:pt>
                <c:pt idx="92">
                  <c:v>2</c:v>
                </c:pt>
                <c:pt idx="93">
                  <c:v>0</c:v>
                </c:pt>
                <c:pt idx="94">
                  <c:v>0</c:v>
                </c:pt>
                <c:pt idx="95">
                  <c:v>0</c:v>
                </c:pt>
                <c:pt idx="96">
                  <c:v>0</c:v>
                </c:pt>
                <c:pt idx="97">
                  <c:v>0</c:v>
                </c:pt>
                <c:pt idx="98">
                  <c:v>0</c:v>
                </c:pt>
                <c:pt idx="99">
                  <c:v>0</c:v>
                </c:pt>
              </c:numCache>
            </c:numRef>
          </c:val>
          <c:smooth val="0"/>
          <c:extLst xmlns:c16r2="http://schemas.microsoft.com/office/drawing/2015/06/chart">
            <c:ext xmlns:c16="http://schemas.microsoft.com/office/drawing/2014/chart" uri="{C3380CC4-5D6E-409C-BE32-E72D297353CC}">
              <c16:uniqueId val="{00000006-B21D-47AB-AE24-152C1E4726A4}"/>
            </c:ext>
          </c:extLst>
        </c:ser>
        <c:ser>
          <c:idx val="7"/>
          <c:order val="7"/>
          <c:tx>
            <c:strRef>
              <c:f>'Titanic Dataset'!$I$1</c:f>
              <c:strCache>
                <c:ptCount val="1"/>
                <c:pt idx="0">
                  <c:v>Ticket</c:v>
                </c:pt>
              </c:strCache>
            </c:strRef>
          </c:tx>
          <c:spPr>
            <a:ln w="22225" cap="rnd">
              <a:solidFill>
                <a:schemeClr val="accent2">
                  <a:lumMod val="60000"/>
                </a:schemeClr>
              </a:solidFill>
            </a:ln>
            <a:effectLst>
              <a:glow rad="139700">
                <a:schemeClr val="accent2">
                  <a:lumMod val="60000"/>
                  <a:satMod val="175000"/>
                  <a:alpha val="14000"/>
                </a:schemeClr>
              </a:glow>
            </a:effectLst>
          </c:spPr>
          <c:marker>
            <c:symbol val="none"/>
          </c:marker>
          <c:dPt>
            <c:idx val="72"/>
            <c:marker>
              <c:symbol val="none"/>
            </c:marker>
            <c:bubble3D val="0"/>
            <c:extLst xmlns:c16r2="http://schemas.microsoft.com/office/drawing/2015/06/chart">
              <c:ext xmlns:c16="http://schemas.microsoft.com/office/drawing/2014/chart" uri="{C3380CC4-5D6E-409C-BE32-E72D297353CC}">
                <c16:uniqueId val="{0000000B-B21D-47AB-AE24-152C1E4726A4}"/>
              </c:ext>
            </c:extLst>
          </c:dPt>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Dataset'!$I$2:$I$101</c:f>
              <c:numCache>
                <c:formatCode>General</c:formatCode>
                <c:ptCount val="100"/>
                <c:pt idx="0">
                  <c:v>330911</c:v>
                </c:pt>
                <c:pt idx="1">
                  <c:v>363272</c:v>
                </c:pt>
                <c:pt idx="2">
                  <c:v>240276</c:v>
                </c:pt>
                <c:pt idx="3">
                  <c:v>315154</c:v>
                </c:pt>
                <c:pt idx="4">
                  <c:v>3101298</c:v>
                </c:pt>
                <c:pt idx="5">
                  <c:v>7538</c:v>
                </c:pt>
                <c:pt idx="6">
                  <c:v>330972</c:v>
                </c:pt>
                <c:pt idx="7">
                  <c:v>248738</c:v>
                </c:pt>
                <c:pt idx="8">
                  <c:v>2657</c:v>
                </c:pt>
                <c:pt idx="9">
                  <c:v>0</c:v>
                </c:pt>
                <c:pt idx="10">
                  <c:v>349220</c:v>
                </c:pt>
                <c:pt idx="11">
                  <c:v>694</c:v>
                </c:pt>
                <c:pt idx="12">
                  <c:v>21228</c:v>
                </c:pt>
                <c:pt idx="13">
                  <c:v>24065</c:v>
                </c:pt>
                <c:pt idx="14">
                  <c:v>0</c:v>
                </c:pt>
                <c:pt idx="15">
                  <c:v>0</c:v>
                </c:pt>
                <c:pt idx="16">
                  <c:v>233734</c:v>
                </c:pt>
                <c:pt idx="17">
                  <c:v>2692</c:v>
                </c:pt>
                <c:pt idx="18">
                  <c:v>0</c:v>
                </c:pt>
                <c:pt idx="19">
                  <c:v>2696</c:v>
                </c:pt>
                <c:pt idx="20">
                  <c:v>0</c:v>
                </c:pt>
                <c:pt idx="21">
                  <c:v>0</c:v>
                </c:pt>
                <c:pt idx="22">
                  <c:v>0</c:v>
                </c:pt>
                <c:pt idx="23">
                  <c:v>0</c:v>
                </c:pt>
                <c:pt idx="24">
                  <c:v>0</c:v>
                </c:pt>
                <c:pt idx="25">
                  <c:v>0</c:v>
                </c:pt>
                <c:pt idx="26">
                  <c:v>113509</c:v>
                </c:pt>
                <c:pt idx="27">
                  <c:v>2698</c:v>
                </c:pt>
                <c:pt idx="28">
                  <c:v>113054</c:v>
                </c:pt>
                <c:pt idx="29">
                  <c:v>2662</c:v>
                </c:pt>
                <c:pt idx="30">
                  <c:v>0</c:v>
                </c:pt>
                <c:pt idx="31">
                  <c:v>0</c:v>
                </c:pt>
                <c:pt idx="32">
                  <c:v>0</c:v>
                </c:pt>
                <c:pt idx="33">
                  <c:v>0</c:v>
                </c:pt>
                <c:pt idx="34">
                  <c:v>13236</c:v>
                </c:pt>
                <c:pt idx="35">
                  <c:v>2682</c:v>
                </c:pt>
                <c:pt idx="36">
                  <c:v>342712</c:v>
                </c:pt>
                <c:pt idx="37">
                  <c:v>315087</c:v>
                </c:pt>
                <c:pt idx="38">
                  <c:v>345768</c:v>
                </c:pt>
                <c:pt idx="39">
                  <c:v>1601</c:v>
                </c:pt>
                <c:pt idx="40">
                  <c:v>349256</c:v>
                </c:pt>
                <c:pt idx="41">
                  <c:v>113778</c:v>
                </c:pt>
                <c:pt idx="42">
                  <c:v>0</c:v>
                </c:pt>
                <c:pt idx="43">
                  <c:v>237249</c:v>
                </c:pt>
                <c:pt idx="44">
                  <c:v>11753</c:v>
                </c:pt>
                <c:pt idx="45">
                  <c:v>0</c:v>
                </c:pt>
                <c:pt idx="46">
                  <c:v>0</c:v>
                </c:pt>
                <c:pt idx="47">
                  <c:v>370374</c:v>
                </c:pt>
                <c:pt idx="48">
                  <c:v>11813</c:v>
                </c:pt>
                <c:pt idx="49">
                  <c:v>0</c:v>
                </c:pt>
                <c:pt idx="50">
                  <c:v>13695</c:v>
                </c:pt>
                <c:pt idx="51">
                  <c:v>0</c:v>
                </c:pt>
                <c:pt idx="52">
                  <c:v>29105</c:v>
                </c:pt>
                <c:pt idx="53">
                  <c:v>19950</c:v>
                </c:pt>
                <c:pt idx="54">
                  <c:v>0</c:v>
                </c:pt>
                <c:pt idx="55">
                  <c:v>382652</c:v>
                </c:pt>
                <c:pt idx="56">
                  <c:v>349230</c:v>
                </c:pt>
                <c:pt idx="57">
                  <c:v>348122</c:v>
                </c:pt>
                <c:pt idx="58">
                  <c:v>386525</c:v>
                </c:pt>
                <c:pt idx="59">
                  <c:v>0</c:v>
                </c:pt>
                <c:pt idx="60">
                  <c:v>349232</c:v>
                </c:pt>
                <c:pt idx="61">
                  <c:v>237216</c:v>
                </c:pt>
                <c:pt idx="62">
                  <c:v>347090</c:v>
                </c:pt>
                <c:pt idx="63">
                  <c:v>334914</c:v>
                </c:pt>
                <c:pt idx="64">
                  <c:v>0</c:v>
                </c:pt>
                <c:pt idx="65">
                  <c:v>0</c:v>
                </c:pt>
                <c:pt idx="66">
                  <c:v>330963</c:v>
                </c:pt>
                <c:pt idx="67">
                  <c:v>113796</c:v>
                </c:pt>
                <c:pt idx="68">
                  <c:v>2543</c:v>
                </c:pt>
                <c:pt idx="69">
                  <c:v>19950</c:v>
                </c:pt>
                <c:pt idx="70">
                  <c:v>382653</c:v>
                </c:pt>
                <c:pt idx="71">
                  <c:v>349211</c:v>
                </c:pt>
                <c:pt idx="72">
                  <c:v>3101297</c:v>
                </c:pt>
                <c:pt idx="73">
                  <c:v>0</c:v>
                </c:pt>
                <c:pt idx="74">
                  <c:v>113503</c:v>
                </c:pt>
                <c:pt idx="75">
                  <c:v>113503</c:v>
                </c:pt>
                <c:pt idx="76">
                  <c:v>359306</c:v>
                </c:pt>
                <c:pt idx="77">
                  <c:v>11770</c:v>
                </c:pt>
                <c:pt idx="78">
                  <c:v>248744</c:v>
                </c:pt>
                <c:pt idx="79">
                  <c:v>368702</c:v>
                </c:pt>
                <c:pt idx="80">
                  <c:v>2678</c:v>
                </c:pt>
                <c:pt idx="81">
                  <c:v>0</c:v>
                </c:pt>
                <c:pt idx="82">
                  <c:v>19924</c:v>
                </c:pt>
                <c:pt idx="83">
                  <c:v>349238</c:v>
                </c:pt>
                <c:pt idx="84">
                  <c:v>240261</c:v>
                </c:pt>
                <c:pt idx="85">
                  <c:v>2660</c:v>
                </c:pt>
                <c:pt idx="86">
                  <c:v>330844</c:v>
                </c:pt>
                <c:pt idx="87">
                  <c:v>0</c:v>
                </c:pt>
                <c:pt idx="88">
                  <c:v>364856</c:v>
                </c:pt>
                <c:pt idx="89">
                  <c:v>29103</c:v>
                </c:pt>
                <c:pt idx="90">
                  <c:v>347072</c:v>
                </c:pt>
                <c:pt idx="91">
                  <c:v>345498</c:v>
                </c:pt>
                <c:pt idx="92">
                  <c:v>0</c:v>
                </c:pt>
                <c:pt idx="93">
                  <c:v>376563</c:v>
                </c:pt>
                <c:pt idx="94">
                  <c:v>13905</c:v>
                </c:pt>
                <c:pt idx="95">
                  <c:v>350033</c:v>
                </c:pt>
                <c:pt idx="96">
                  <c:v>19877</c:v>
                </c:pt>
                <c:pt idx="97">
                  <c:v>0</c:v>
                </c:pt>
                <c:pt idx="98">
                  <c:v>347471</c:v>
                </c:pt>
                <c:pt idx="99">
                  <c:v>0</c:v>
                </c:pt>
              </c:numCache>
            </c:numRef>
          </c:val>
          <c:smooth val="0"/>
          <c:extLst xmlns:c16r2="http://schemas.microsoft.com/office/drawing/2015/06/chart">
            <c:ext xmlns:c16="http://schemas.microsoft.com/office/drawing/2014/chart" uri="{C3380CC4-5D6E-409C-BE32-E72D297353CC}">
              <c16:uniqueId val="{00000007-B21D-47AB-AE24-152C1E4726A4}"/>
            </c:ext>
          </c:extLst>
        </c:ser>
        <c:ser>
          <c:idx val="8"/>
          <c:order val="8"/>
          <c:tx>
            <c:strRef>
              <c:f>'Titanic Dataset'!$J$1</c:f>
              <c:strCache>
                <c:ptCount val="1"/>
                <c:pt idx="0">
                  <c:v>Fare</c:v>
                </c:pt>
              </c:strCache>
            </c:strRef>
          </c:tx>
          <c:spPr>
            <a:ln w="22225" cap="rnd">
              <a:solidFill>
                <a:schemeClr val="accent3">
                  <a:lumMod val="60000"/>
                </a:schemeClr>
              </a:solidFill>
            </a:ln>
            <a:effectLst>
              <a:glow rad="139700">
                <a:schemeClr val="accent3">
                  <a:lumMod val="60000"/>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Dataset'!$J$2:$J$101</c:f>
              <c:numCache>
                <c:formatCode>General</c:formatCode>
                <c:ptCount val="100"/>
                <c:pt idx="0">
                  <c:v>7.8292000000000002</c:v>
                </c:pt>
                <c:pt idx="1">
                  <c:v>7</c:v>
                </c:pt>
                <c:pt idx="2">
                  <c:v>9.6875</c:v>
                </c:pt>
                <c:pt idx="3">
                  <c:v>8.6624999999999996</c:v>
                </c:pt>
                <c:pt idx="4">
                  <c:v>12.2875</c:v>
                </c:pt>
                <c:pt idx="5">
                  <c:v>9.2249999999999996</c:v>
                </c:pt>
                <c:pt idx="6">
                  <c:v>7.6292</c:v>
                </c:pt>
                <c:pt idx="7">
                  <c:v>29</c:v>
                </c:pt>
                <c:pt idx="8">
                  <c:v>7.2291999999999996</c:v>
                </c:pt>
                <c:pt idx="9">
                  <c:v>24.15</c:v>
                </c:pt>
                <c:pt idx="10">
                  <c:v>7.8958000000000004</c:v>
                </c:pt>
                <c:pt idx="11">
                  <c:v>26</c:v>
                </c:pt>
                <c:pt idx="12">
                  <c:v>82.2667</c:v>
                </c:pt>
                <c:pt idx="13">
                  <c:v>26</c:v>
                </c:pt>
                <c:pt idx="14">
                  <c:v>61.174999999999997</c:v>
                </c:pt>
                <c:pt idx="15">
                  <c:v>27.720800000000001</c:v>
                </c:pt>
                <c:pt idx="16">
                  <c:v>12.35</c:v>
                </c:pt>
                <c:pt idx="17">
                  <c:v>7.2249999999999996</c:v>
                </c:pt>
                <c:pt idx="18">
                  <c:v>7.9249999999999998</c:v>
                </c:pt>
                <c:pt idx="19">
                  <c:v>7.2249999999999996</c:v>
                </c:pt>
                <c:pt idx="20">
                  <c:v>59.4</c:v>
                </c:pt>
                <c:pt idx="21">
                  <c:v>3.1707999999999998</c:v>
                </c:pt>
                <c:pt idx="22">
                  <c:v>31.683299999999999</c:v>
                </c:pt>
                <c:pt idx="23">
                  <c:v>61.379199999999997</c:v>
                </c:pt>
                <c:pt idx="24">
                  <c:v>262.375</c:v>
                </c:pt>
                <c:pt idx="25">
                  <c:v>14.5</c:v>
                </c:pt>
                <c:pt idx="26">
                  <c:v>61.979199999999999</c:v>
                </c:pt>
                <c:pt idx="27">
                  <c:v>7.2249999999999996</c:v>
                </c:pt>
                <c:pt idx="28">
                  <c:v>30.5</c:v>
                </c:pt>
                <c:pt idx="29">
                  <c:v>21.679200000000002</c:v>
                </c:pt>
                <c:pt idx="30">
                  <c:v>26</c:v>
                </c:pt>
                <c:pt idx="31">
                  <c:v>31.5</c:v>
                </c:pt>
                <c:pt idx="32">
                  <c:v>20.574999999999999</c:v>
                </c:pt>
                <c:pt idx="33">
                  <c:v>23.45</c:v>
                </c:pt>
                <c:pt idx="34">
                  <c:v>57.75</c:v>
                </c:pt>
                <c:pt idx="35">
                  <c:v>7.2291999999999996</c:v>
                </c:pt>
                <c:pt idx="36">
                  <c:v>8.0500000000000007</c:v>
                </c:pt>
                <c:pt idx="37">
                  <c:v>8.6624999999999996</c:v>
                </c:pt>
                <c:pt idx="38">
                  <c:v>9.5</c:v>
                </c:pt>
                <c:pt idx="39">
                  <c:v>56.495800000000003</c:v>
                </c:pt>
                <c:pt idx="40">
                  <c:v>13.416700000000001</c:v>
                </c:pt>
                <c:pt idx="41">
                  <c:v>26.55</c:v>
                </c:pt>
                <c:pt idx="42">
                  <c:v>7.85</c:v>
                </c:pt>
                <c:pt idx="43">
                  <c:v>13</c:v>
                </c:pt>
                <c:pt idx="44">
                  <c:v>52.554200000000002</c:v>
                </c:pt>
                <c:pt idx="45">
                  <c:v>7.9249999999999998</c:v>
                </c:pt>
                <c:pt idx="46">
                  <c:v>29.7</c:v>
                </c:pt>
                <c:pt idx="47">
                  <c:v>7.75</c:v>
                </c:pt>
                <c:pt idx="48">
                  <c:v>76.291700000000006</c:v>
                </c:pt>
                <c:pt idx="49">
                  <c:v>15.9</c:v>
                </c:pt>
                <c:pt idx="50">
                  <c:v>60</c:v>
                </c:pt>
                <c:pt idx="51">
                  <c:v>15.033300000000001</c:v>
                </c:pt>
                <c:pt idx="52">
                  <c:v>23</c:v>
                </c:pt>
                <c:pt idx="53">
                  <c:v>263</c:v>
                </c:pt>
                <c:pt idx="54">
                  <c:v>15.5792</c:v>
                </c:pt>
                <c:pt idx="55">
                  <c:v>29.125</c:v>
                </c:pt>
                <c:pt idx="56">
                  <c:v>7.8958000000000004</c:v>
                </c:pt>
                <c:pt idx="57">
                  <c:v>7.65</c:v>
                </c:pt>
                <c:pt idx="58">
                  <c:v>16.100000000000001</c:v>
                </c:pt>
                <c:pt idx="59">
                  <c:v>262.375</c:v>
                </c:pt>
                <c:pt idx="60">
                  <c:v>7.8958000000000004</c:v>
                </c:pt>
                <c:pt idx="61">
                  <c:v>13.5</c:v>
                </c:pt>
                <c:pt idx="62">
                  <c:v>7.75</c:v>
                </c:pt>
                <c:pt idx="63">
                  <c:v>7.7249999999999996</c:v>
                </c:pt>
                <c:pt idx="64">
                  <c:v>262.375</c:v>
                </c:pt>
                <c:pt idx="65">
                  <c:v>21</c:v>
                </c:pt>
                <c:pt idx="66">
                  <c:v>7.8792</c:v>
                </c:pt>
                <c:pt idx="67">
                  <c:v>42.4</c:v>
                </c:pt>
                <c:pt idx="68">
                  <c:v>28.537500000000001</c:v>
                </c:pt>
                <c:pt idx="69">
                  <c:v>263</c:v>
                </c:pt>
                <c:pt idx="70">
                  <c:v>7.75</c:v>
                </c:pt>
                <c:pt idx="71">
                  <c:v>7.8958000000000004</c:v>
                </c:pt>
                <c:pt idx="72">
                  <c:v>7.9249999999999998</c:v>
                </c:pt>
                <c:pt idx="73">
                  <c:v>27.720800000000001</c:v>
                </c:pt>
                <c:pt idx="74">
                  <c:v>211.5</c:v>
                </c:pt>
                <c:pt idx="75">
                  <c:v>211.5</c:v>
                </c:pt>
                <c:pt idx="76">
                  <c:v>8.0500000000000007</c:v>
                </c:pt>
                <c:pt idx="77">
                  <c:v>25.7</c:v>
                </c:pt>
                <c:pt idx="78">
                  <c:v>13</c:v>
                </c:pt>
                <c:pt idx="79">
                  <c:v>7.75</c:v>
                </c:pt>
                <c:pt idx="80">
                  <c:v>15.245799999999999</c:v>
                </c:pt>
                <c:pt idx="81">
                  <c:v>221.7792</c:v>
                </c:pt>
                <c:pt idx="82">
                  <c:v>26</c:v>
                </c:pt>
                <c:pt idx="83">
                  <c:v>7.8958000000000004</c:v>
                </c:pt>
                <c:pt idx="84">
                  <c:v>10.708299999999999</c:v>
                </c:pt>
                <c:pt idx="85">
                  <c:v>14.4542</c:v>
                </c:pt>
                <c:pt idx="86">
                  <c:v>7.8792</c:v>
                </c:pt>
                <c:pt idx="87">
                  <c:v>8.0500000000000007</c:v>
                </c:pt>
                <c:pt idx="88">
                  <c:v>7.75</c:v>
                </c:pt>
                <c:pt idx="89">
                  <c:v>23</c:v>
                </c:pt>
                <c:pt idx="90">
                  <c:v>13.9</c:v>
                </c:pt>
                <c:pt idx="91">
                  <c:v>7.7750000000000004</c:v>
                </c:pt>
                <c:pt idx="92">
                  <c:v>52</c:v>
                </c:pt>
                <c:pt idx="93">
                  <c:v>8.0500000000000007</c:v>
                </c:pt>
                <c:pt idx="94">
                  <c:v>26</c:v>
                </c:pt>
                <c:pt idx="95">
                  <c:v>7.7957999999999998</c:v>
                </c:pt>
                <c:pt idx="96">
                  <c:v>78.849999999999994</c:v>
                </c:pt>
                <c:pt idx="97">
                  <c:v>7.9249999999999998</c:v>
                </c:pt>
                <c:pt idx="98">
                  <c:v>7.8541999999999996</c:v>
                </c:pt>
                <c:pt idx="99">
                  <c:v>8.0500000000000007</c:v>
                </c:pt>
              </c:numCache>
            </c:numRef>
          </c:val>
          <c:smooth val="0"/>
          <c:extLst xmlns:c16r2="http://schemas.microsoft.com/office/drawing/2015/06/chart">
            <c:ext xmlns:c16="http://schemas.microsoft.com/office/drawing/2014/chart" uri="{C3380CC4-5D6E-409C-BE32-E72D297353CC}">
              <c16:uniqueId val="{00000008-B21D-47AB-AE24-152C1E4726A4}"/>
            </c:ext>
          </c:extLst>
        </c:ser>
        <c:ser>
          <c:idx val="9"/>
          <c:order val="9"/>
          <c:tx>
            <c:strRef>
              <c:f>'Titanic Dataset'!$K$1</c:f>
              <c:strCache>
                <c:ptCount val="1"/>
                <c:pt idx="0">
                  <c:v>Cabin</c:v>
                </c:pt>
              </c:strCache>
            </c:strRef>
          </c:tx>
          <c:spPr>
            <a:ln w="22225" cap="rnd">
              <a:solidFill>
                <a:schemeClr val="accent4">
                  <a:lumMod val="60000"/>
                </a:schemeClr>
              </a:solidFill>
            </a:ln>
            <a:effectLst>
              <a:glow rad="139700">
                <a:schemeClr val="accent4">
                  <a:lumMod val="60000"/>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Dataset'!$K$2:$K$101</c:f>
              <c:numCache>
                <c:formatCode>General</c:formatCode>
                <c:ptCount val="100"/>
                <c:pt idx="12">
                  <c:v>0</c:v>
                </c:pt>
                <c:pt idx="14">
                  <c:v>0</c:v>
                </c:pt>
                <c:pt idx="24">
                  <c:v>0</c:v>
                </c:pt>
                <c:pt idx="26">
                  <c:v>0</c:v>
                </c:pt>
                <c:pt idx="28">
                  <c:v>0</c:v>
                </c:pt>
                <c:pt idx="34">
                  <c:v>0</c:v>
                </c:pt>
                <c:pt idx="41">
                  <c:v>0</c:v>
                </c:pt>
                <c:pt idx="44">
                  <c:v>0</c:v>
                </c:pt>
                <c:pt idx="46">
                  <c:v>0</c:v>
                </c:pt>
                <c:pt idx="48">
                  <c:v>0</c:v>
                </c:pt>
                <c:pt idx="50">
                  <c:v>0</c:v>
                </c:pt>
                <c:pt idx="53">
                  <c:v>0</c:v>
                </c:pt>
                <c:pt idx="57">
                  <c:v>0</c:v>
                </c:pt>
                <c:pt idx="59">
                  <c:v>0</c:v>
                </c:pt>
                <c:pt idx="64">
                  <c:v>0</c:v>
                </c:pt>
                <c:pt idx="68">
                  <c:v>0</c:v>
                </c:pt>
                <c:pt idx="69">
                  <c:v>0</c:v>
                </c:pt>
                <c:pt idx="73">
                  <c:v>0</c:v>
                </c:pt>
                <c:pt idx="74">
                  <c:v>0</c:v>
                </c:pt>
                <c:pt idx="75">
                  <c:v>0</c:v>
                </c:pt>
                <c:pt idx="77">
                  <c:v>0</c:v>
                </c:pt>
                <c:pt idx="81">
                  <c:v>0</c:v>
                </c:pt>
                <c:pt idx="92">
                  <c:v>0</c:v>
                </c:pt>
                <c:pt idx="96">
                  <c:v>0</c:v>
                </c:pt>
              </c:numCache>
            </c:numRef>
          </c:val>
          <c:smooth val="0"/>
          <c:extLst xmlns:c16r2="http://schemas.microsoft.com/office/drawing/2015/06/chart">
            <c:ext xmlns:c16="http://schemas.microsoft.com/office/drawing/2014/chart" uri="{C3380CC4-5D6E-409C-BE32-E72D297353CC}">
              <c16:uniqueId val="{00000009-B21D-47AB-AE24-152C1E4726A4}"/>
            </c:ext>
          </c:extLst>
        </c:ser>
        <c:ser>
          <c:idx val="10"/>
          <c:order val="10"/>
          <c:tx>
            <c:strRef>
              <c:f>'Titanic Dataset'!$L$1</c:f>
              <c:strCache>
                <c:ptCount val="1"/>
                <c:pt idx="0">
                  <c:v>Embarked</c:v>
                </c:pt>
              </c:strCache>
            </c:strRef>
          </c:tx>
          <c:spPr>
            <a:ln w="22225" cap="rnd">
              <a:solidFill>
                <a:schemeClr val="accent5">
                  <a:lumMod val="60000"/>
                </a:schemeClr>
              </a:solidFill>
            </a:ln>
            <a:effectLst>
              <a:glow rad="139700">
                <a:schemeClr val="accent5">
                  <a:lumMod val="60000"/>
                  <a:satMod val="175000"/>
                  <a:alpha val="14000"/>
                </a:schemeClr>
              </a:glow>
            </a:effectLst>
          </c:spPr>
          <c:marker>
            <c:symbol val="none"/>
          </c:marker>
          <c:cat>
            <c:numRef>
              <c:f>'Titanic Dataset'!$A$2:$A$101</c:f>
              <c:numCache>
                <c:formatCode>General</c:formatCode>
                <c:ptCount val="100"/>
                <c:pt idx="0">
                  <c:v>892</c:v>
                </c:pt>
                <c:pt idx="1">
                  <c:v>893</c:v>
                </c:pt>
                <c:pt idx="2">
                  <c:v>894</c:v>
                </c:pt>
                <c:pt idx="3">
                  <c:v>895</c:v>
                </c:pt>
                <c:pt idx="4">
                  <c:v>896</c:v>
                </c:pt>
                <c:pt idx="5">
                  <c:v>897</c:v>
                </c:pt>
                <c:pt idx="6">
                  <c:v>898</c:v>
                </c:pt>
                <c:pt idx="7">
                  <c:v>899</c:v>
                </c:pt>
                <c:pt idx="8">
                  <c:v>900</c:v>
                </c:pt>
                <c:pt idx="9">
                  <c:v>901</c:v>
                </c:pt>
                <c:pt idx="10">
                  <c:v>902</c:v>
                </c:pt>
                <c:pt idx="11">
                  <c:v>903</c:v>
                </c:pt>
                <c:pt idx="12">
                  <c:v>904</c:v>
                </c:pt>
                <c:pt idx="13">
                  <c:v>905</c:v>
                </c:pt>
                <c:pt idx="14">
                  <c:v>906</c:v>
                </c:pt>
                <c:pt idx="15">
                  <c:v>907</c:v>
                </c:pt>
                <c:pt idx="16">
                  <c:v>908</c:v>
                </c:pt>
                <c:pt idx="17">
                  <c:v>909</c:v>
                </c:pt>
                <c:pt idx="18">
                  <c:v>910</c:v>
                </c:pt>
                <c:pt idx="19">
                  <c:v>911</c:v>
                </c:pt>
                <c:pt idx="20">
                  <c:v>912</c:v>
                </c:pt>
                <c:pt idx="21">
                  <c:v>913</c:v>
                </c:pt>
                <c:pt idx="22">
                  <c:v>914</c:v>
                </c:pt>
                <c:pt idx="23">
                  <c:v>915</c:v>
                </c:pt>
                <c:pt idx="24">
                  <c:v>916</c:v>
                </c:pt>
                <c:pt idx="25">
                  <c:v>917</c:v>
                </c:pt>
                <c:pt idx="26">
                  <c:v>918</c:v>
                </c:pt>
                <c:pt idx="27">
                  <c:v>919</c:v>
                </c:pt>
                <c:pt idx="28">
                  <c:v>920</c:v>
                </c:pt>
                <c:pt idx="29">
                  <c:v>921</c:v>
                </c:pt>
                <c:pt idx="30">
                  <c:v>922</c:v>
                </c:pt>
                <c:pt idx="31">
                  <c:v>923</c:v>
                </c:pt>
                <c:pt idx="32">
                  <c:v>924</c:v>
                </c:pt>
                <c:pt idx="33">
                  <c:v>925</c:v>
                </c:pt>
                <c:pt idx="34">
                  <c:v>926</c:v>
                </c:pt>
                <c:pt idx="35">
                  <c:v>927</c:v>
                </c:pt>
                <c:pt idx="36">
                  <c:v>928</c:v>
                </c:pt>
                <c:pt idx="37">
                  <c:v>929</c:v>
                </c:pt>
                <c:pt idx="38">
                  <c:v>930</c:v>
                </c:pt>
                <c:pt idx="39">
                  <c:v>931</c:v>
                </c:pt>
                <c:pt idx="40">
                  <c:v>932</c:v>
                </c:pt>
                <c:pt idx="41">
                  <c:v>933</c:v>
                </c:pt>
                <c:pt idx="42">
                  <c:v>934</c:v>
                </c:pt>
                <c:pt idx="43">
                  <c:v>935</c:v>
                </c:pt>
                <c:pt idx="44">
                  <c:v>936</c:v>
                </c:pt>
                <c:pt idx="45">
                  <c:v>937</c:v>
                </c:pt>
                <c:pt idx="46">
                  <c:v>938</c:v>
                </c:pt>
                <c:pt idx="47">
                  <c:v>939</c:v>
                </c:pt>
                <c:pt idx="48">
                  <c:v>940</c:v>
                </c:pt>
                <c:pt idx="49">
                  <c:v>941</c:v>
                </c:pt>
                <c:pt idx="50">
                  <c:v>942</c:v>
                </c:pt>
                <c:pt idx="51">
                  <c:v>943</c:v>
                </c:pt>
                <c:pt idx="52">
                  <c:v>944</c:v>
                </c:pt>
                <c:pt idx="53">
                  <c:v>945</c:v>
                </c:pt>
                <c:pt idx="54">
                  <c:v>946</c:v>
                </c:pt>
                <c:pt idx="55">
                  <c:v>947</c:v>
                </c:pt>
                <c:pt idx="56">
                  <c:v>948</c:v>
                </c:pt>
                <c:pt idx="57">
                  <c:v>949</c:v>
                </c:pt>
                <c:pt idx="58">
                  <c:v>950</c:v>
                </c:pt>
                <c:pt idx="59">
                  <c:v>951</c:v>
                </c:pt>
                <c:pt idx="60">
                  <c:v>952</c:v>
                </c:pt>
                <c:pt idx="61">
                  <c:v>953</c:v>
                </c:pt>
                <c:pt idx="62">
                  <c:v>954</c:v>
                </c:pt>
                <c:pt idx="63">
                  <c:v>955</c:v>
                </c:pt>
                <c:pt idx="64">
                  <c:v>956</c:v>
                </c:pt>
                <c:pt idx="65">
                  <c:v>957</c:v>
                </c:pt>
                <c:pt idx="66">
                  <c:v>958</c:v>
                </c:pt>
                <c:pt idx="67">
                  <c:v>959</c:v>
                </c:pt>
                <c:pt idx="68">
                  <c:v>960</c:v>
                </c:pt>
                <c:pt idx="69">
                  <c:v>961</c:v>
                </c:pt>
                <c:pt idx="70">
                  <c:v>962</c:v>
                </c:pt>
                <c:pt idx="71">
                  <c:v>963</c:v>
                </c:pt>
                <c:pt idx="72">
                  <c:v>964</c:v>
                </c:pt>
                <c:pt idx="73">
                  <c:v>965</c:v>
                </c:pt>
                <c:pt idx="74">
                  <c:v>966</c:v>
                </c:pt>
                <c:pt idx="75">
                  <c:v>967</c:v>
                </c:pt>
                <c:pt idx="76">
                  <c:v>968</c:v>
                </c:pt>
                <c:pt idx="77">
                  <c:v>969</c:v>
                </c:pt>
                <c:pt idx="78">
                  <c:v>970</c:v>
                </c:pt>
                <c:pt idx="79">
                  <c:v>971</c:v>
                </c:pt>
                <c:pt idx="80">
                  <c:v>972</c:v>
                </c:pt>
                <c:pt idx="81">
                  <c:v>973</c:v>
                </c:pt>
                <c:pt idx="82">
                  <c:v>974</c:v>
                </c:pt>
                <c:pt idx="83">
                  <c:v>975</c:v>
                </c:pt>
                <c:pt idx="84">
                  <c:v>976</c:v>
                </c:pt>
                <c:pt idx="85">
                  <c:v>977</c:v>
                </c:pt>
                <c:pt idx="86">
                  <c:v>978</c:v>
                </c:pt>
                <c:pt idx="87">
                  <c:v>979</c:v>
                </c:pt>
                <c:pt idx="88">
                  <c:v>980</c:v>
                </c:pt>
                <c:pt idx="89">
                  <c:v>981</c:v>
                </c:pt>
                <c:pt idx="90">
                  <c:v>982</c:v>
                </c:pt>
                <c:pt idx="91">
                  <c:v>983</c:v>
                </c:pt>
                <c:pt idx="92">
                  <c:v>984</c:v>
                </c:pt>
                <c:pt idx="93">
                  <c:v>985</c:v>
                </c:pt>
                <c:pt idx="94">
                  <c:v>986</c:v>
                </c:pt>
                <c:pt idx="95">
                  <c:v>987</c:v>
                </c:pt>
                <c:pt idx="96">
                  <c:v>988</c:v>
                </c:pt>
                <c:pt idx="97">
                  <c:v>989</c:v>
                </c:pt>
                <c:pt idx="98">
                  <c:v>990</c:v>
                </c:pt>
                <c:pt idx="99">
                  <c:v>991</c:v>
                </c:pt>
              </c:numCache>
            </c:numRef>
          </c:cat>
          <c:val>
            <c:numRef>
              <c:f>'Titanic Dataset'!$L$2:$L$101</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xmlns:c16r2="http://schemas.microsoft.com/office/drawing/2015/06/chart">
            <c:ext xmlns:c16="http://schemas.microsoft.com/office/drawing/2014/chart" uri="{C3380CC4-5D6E-409C-BE32-E72D297353CC}">
              <c16:uniqueId val="{0000000A-B21D-47AB-AE24-152C1E4726A4}"/>
            </c:ext>
          </c:extLst>
        </c:ser>
        <c:dLbls>
          <c:showLegendKey val="0"/>
          <c:showVal val="0"/>
          <c:showCatName val="0"/>
          <c:showSerName val="0"/>
          <c:showPercent val="0"/>
          <c:showBubbleSize val="0"/>
        </c:dLbls>
        <c:smooth val="0"/>
        <c:axId val="10369856"/>
        <c:axId val="10361696"/>
      </c:lineChart>
      <c:catAx>
        <c:axId val="1036985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a:outerShdw blurRad="850900" dist="1168400" dir="10500000" algn="ctr" rotWithShape="0">
                <a:srgbClr val="000000">
                  <a:alpha val="43137"/>
                </a:srgbClr>
              </a:outerShdw>
              <a:softEdge rad="1270000"/>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361696"/>
        <c:crosses val="autoZero"/>
        <c:auto val="1"/>
        <c:lblAlgn val="ctr"/>
        <c:lblOffset val="100"/>
        <c:noMultiLvlLbl val="0"/>
      </c:catAx>
      <c:valAx>
        <c:axId val="1036169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369856"/>
        <c:crosses val="autoZero"/>
        <c:crossBetween val="between"/>
      </c:valAx>
      <c:spPr>
        <a:noFill/>
        <a:ln>
          <a:noFill/>
        </a:ln>
        <a:effectLst>
          <a:outerShdw blurRad="50800" dist="431800" dir="5400000" algn="ctr" rotWithShape="0">
            <a:srgbClr val="000000">
              <a:alpha val="4000"/>
            </a:srgbClr>
          </a:outerShdw>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a:glow rad="368300">
        <a:schemeClr val="accent1">
          <a:alpha val="40000"/>
        </a:schemeClr>
      </a:glow>
      <a:outerShdw blurRad="50800" dist="50800" dir="5400000" algn="ctr" rotWithShape="0">
        <a:schemeClr val="tx1">
          <a:alpha val="77000"/>
        </a:scheme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868680</xdr:colOff>
      <xdr:row>2</xdr:row>
      <xdr:rowOff>0</xdr:rowOff>
    </xdr:from>
    <xdr:to>
      <xdr:col>10</xdr:col>
      <xdr:colOff>541020</xdr:colOff>
      <xdr:row>20</xdr:row>
      <xdr:rowOff>175260</xdr:rowOff>
    </xdr:to>
    <xdr:graphicFrame macro="">
      <xdr:nvGraphicFramePr>
        <xdr:cNvPr id="2" name="Chart 1">
          <a:extLst>
            <a:ext uri="{FF2B5EF4-FFF2-40B4-BE49-F238E27FC236}">
              <a16:creationId xmlns="" xmlns:a16="http://schemas.microsoft.com/office/drawing/2014/main" id="{BC95286C-B987-0FA9-47FC-67135CDCBB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137160</xdr:colOff>
      <xdr:row>3</xdr:row>
      <xdr:rowOff>99060</xdr:rowOff>
    </xdr:from>
    <xdr:to>
      <xdr:col>20</xdr:col>
      <xdr:colOff>144780</xdr:colOff>
      <xdr:row>33</xdr:row>
      <xdr:rowOff>114300</xdr:rowOff>
    </xdr:to>
    <xdr:graphicFrame macro="">
      <xdr:nvGraphicFramePr>
        <xdr:cNvPr id="2" name="Chart 1">
          <a:extLst>
            <a:ext uri="{FF2B5EF4-FFF2-40B4-BE49-F238E27FC236}">
              <a16:creationId xmlns="" xmlns:a16="http://schemas.microsoft.com/office/drawing/2014/main" id="{6F01F720-B30C-45C0-8D07-F32FE63B1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409574</xdr:colOff>
      <xdr:row>10</xdr:row>
      <xdr:rowOff>28576</xdr:rowOff>
    </xdr:from>
    <xdr:to>
      <xdr:col>17</xdr:col>
      <xdr:colOff>438149</xdr:colOff>
      <xdr:row>25</xdr:row>
      <xdr:rowOff>161926</xdr:rowOff>
    </xdr:to>
    <mc:AlternateContent xmlns:mc="http://schemas.openxmlformats.org/markup-compatibility/2006">
      <mc:Choice xmlns:a14="http://schemas.microsoft.com/office/drawing/2010/main" Requires="a14">
        <xdr:graphicFrame macro="">
          <xdr:nvGraphicFramePr>
            <xdr:cNvPr id="2" name="Age"/>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8334374" y="1933576"/>
              <a:ext cx="2466975" cy="2990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333375</xdr:colOff>
      <xdr:row>1</xdr:row>
      <xdr:rowOff>19050</xdr:rowOff>
    </xdr:from>
    <xdr:to>
      <xdr:col>12</xdr:col>
      <xdr:colOff>581025</xdr:colOff>
      <xdr:row>14</xdr:row>
      <xdr:rowOff>9525</xdr:rowOff>
    </xdr:to>
    <mc:AlternateContent xmlns:mc="http://schemas.openxmlformats.org/markup-compatibility/2006">
      <mc:Choice xmlns:a14="http://schemas.microsoft.com/office/drawing/2010/main" Requires="a14">
        <xdr:graphicFrame macro="">
          <xdr:nvGraphicFramePr>
            <xdr:cNvPr id="3" name="Sex"/>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5819775" y="209550"/>
              <a:ext cx="207645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390525</xdr:colOff>
      <xdr:row>1</xdr:row>
      <xdr:rowOff>9525</xdr:rowOff>
    </xdr:from>
    <xdr:to>
      <xdr:col>9</xdr:col>
      <xdr:colOff>104775</xdr:colOff>
      <xdr:row>14</xdr:row>
      <xdr:rowOff>28575</xdr:rowOff>
    </xdr:to>
    <mc:AlternateContent xmlns:mc="http://schemas.openxmlformats.org/markup-compatibility/2006">
      <mc:Choice xmlns:a14="http://schemas.microsoft.com/office/drawing/2010/main" Requires="a14">
        <xdr:graphicFrame macro="">
          <xdr:nvGraphicFramePr>
            <xdr:cNvPr id="4" name="Name"/>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3438525" y="200025"/>
              <a:ext cx="2152650" cy="2495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15</xdr:row>
      <xdr:rowOff>0</xdr:rowOff>
    </xdr:from>
    <xdr:to>
      <xdr:col>12</xdr:col>
      <xdr:colOff>590550</xdr:colOff>
      <xdr:row>28</xdr:row>
      <xdr:rowOff>47625</xdr:rowOff>
    </xdr:to>
    <mc:AlternateContent xmlns:mc="http://schemas.openxmlformats.org/markup-compatibility/2006">
      <mc:Choice xmlns:a14="http://schemas.microsoft.com/office/drawing/2010/main" Requires="a14">
        <xdr:graphicFrame macro="">
          <xdr:nvGraphicFramePr>
            <xdr:cNvPr id="5" name="Survived"/>
            <xdr:cNvGraphicFramePr/>
          </xdr:nvGraphicFramePr>
          <xdr:xfrm>
            <a:off x="0" y="0"/>
            <a:ext cx="0" cy="0"/>
          </xdr:xfrm>
          <a:graphic>
            <a:graphicData uri="http://schemas.microsoft.com/office/drawing/2010/slicer">
              <sle:slicer xmlns:sle="http://schemas.microsoft.com/office/drawing/2010/slicer" name="Survived"/>
            </a:graphicData>
          </a:graphic>
        </xdr:graphicFrame>
      </mc:Choice>
      <mc:Fallback>
        <xdr:sp macro="" textlink="">
          <xdr:nvSpPr>
            <xdr:cNvPr id="0" name=""/>
            <xdr:cNvSpPr>
              <a:spLocks noTextEdit="1"/>
            </xdr:cNvSpPr>
          </xdr:nvSpPr>
          <xdr:spPr>
            <a:xfrm>
              <a:off x="5848350" y="2857500"/>
              <a:ext cx="20574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390525</xdr:colOff>
      <xdr:row>14</xdr:row>
      <xdr:rowOff>180975</xdr:rowOff>
    </xdr:from>
    <xdr:to>
      <xdr:col>9</xdr:col>
      <xdr:colOff>114300</xdr:colOff>
      <xdr:row>28</xdr:row>
      <xdr:rowOff>28575</xdr:rowOff>
    </xdr:to>
    <mc:AlternateContent xmlns:mc="http://schemas.openxmlformats.org/markup-compatibility/2006">
      <mc:Choice xmlns:a14="http://schemas.microsoft.com/office/drawing/2010/main" Requires="a14">
        <xdr:graphicFrame macro="">
          <xdr:nvGraphicFramePr>
            <xdr:cNvPr id="6" name="PassengerId"/>
            <xdr:cNvGraphicFramePr/>
          </xdr:nvGraphicFramePr>
          <xdr:xfrm>
            <a:off x="0" y="0"/>
            <a:ext cx="0" cy="0"/>
          </xdr:xfrm>
          <a:graphic>
            <a:graphicData uri="http://schemas.microsoft.com/office/drawing/2010/slicer">
              <sle:slicer xmlns:sle="http://schemas.microsoft.com/office/drawing/2010/slicer" name="PassengerId"/>
            </a:graphicData>
          </a:graphic>
        </xdr:graphicFrame>
      </mc:Choice>
      <mc:Fallback>
        <xdr:sp macro="" textlink="">
          <xdr:nvSpPr>
            <xdr:cNvPr id="0" name=""/>
            <xdr:cNvSpPr>
              <a:spLocks noTextEdit="1"/>
            </xdr:cNvSpPr>
          </xdr:nvSpPr>
          <xdr:spPr>
            <a:xfrm>
              <a:off x="3438525" y="2847975"/>
              <a:ext cx="2162175" cy="2514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ARMESH JOSHI" refreshedDate="44831.984098842593" createdVersion="8" refreshedVersion="8" minRefreshableVersion="3" recordCount="100">
  <cacheSource type="worksheet">
    <worksheetSource ref="A1:L101" sheet="Titanic Dataset"/>
  </cacheSource>
  <cacheFields count="12">
    <cacheField name="PassengerId" numFmtId="0">
      <sharedItems containsSemiMixedTypes="0" containsString="0" containsNumber="1" containsInteger="1" minValue="892" maxValue="991" count="100">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sharedItems>
    </cacheField>
    <cacheField name="Survived" numFmtId="0">
      <sharedItems containsSemiMixedTypes="0" containsString="0" containsNumber="1" containsInteger="1" minValue="0" maxValue="1" count="2">
        <n v="0"/>
        <n v="1"/>
      </sharedItems>
    </cacheField>
    <cacheField name="Pclass" numFmtId="0">
      <sharedItems containsSemiMixedTypes="0" containsString="0" containsNumber="1" containsInteger="1" minValue="1" maxValue="3"/>
    </cacheField>
    <cacheField name="Name" numFmtId="0">
      <sharedItems count="100">
        <s v="Kelly, Mr. James"/>
        <s v="Wilkes, Mrs. James (Ellen Needs)"/>
        <s v="Myles, Mr. Thomas Francis"/>
        <s v="Wirz, Mr. Albert"/>
        <s v="Hirvonen, Mrs. Alexander (Helga E Lindqvist)"/>
        <s v="Svensson, Mr. Johan Cervin"/>
        <s v="Connolly, Miss. Kate"/>
        <s v="Caldwell, Mr. Albert Francis"/>
        <s v="Abrahim, Mrs. Joseph (Sophie Halaut Easu)"/>
        <s v="Davies, Mr. John Samuel"/>
        <s v="Ilieff, Mr. Ylio"/>
        <s v="Jones, Mr. Charles Cresson"/>
        <s v="Snyder, Mrs. John Pillsbury (Nelle Stevenson)"/>
        <s v="Howard, Mr. Benjamin"/>
        <s v="Chaffee, Mrs. Herbert Fuller (Carrie Constance Toogood)"/>
        <s v="del Carlo, Mrs. Sebastiano (Argenia Genovesi)"/>
        <s v="Keane, Mr. Daniel"/>
        <s v="Assaf, Mr. Gerios"/>
        <s v="Ilmakangas, Miss. Ida Livija"/>
        <s v="Assaf Khalil, Mrs. Mariana (Miriam&quot;)&quot;"/>
        <s v="Rothschild, Mr. Martin"/>
        <s v="Olsen, Master. Artur Karl"/>
        <s v="Flegenheim, Mrs. Alfred (Antoinette)"/>
        <s v="Williams, Mr. Richard Norris II"/>
        <s v="Ryerson, Mrs. Arthur Larned (Emily Maria Borie)"/>
        <s v="Robins, Mr. Alexander A"/>
        <s v="Ostby, Miss. Helene Ragnhild"/>
        <s v="Daher, Mr. Shedid"/>
        <s v="Brady, Mr. John Bertram"/>
        <s v="Samaan, Mr. Elias"/>
        <s v="Louch, Mr. Charles Alexander"/>
        <s v="Jefferys, Mr. Clifford Thomas"/>
        <s v="Dean, Mrs. Bertram (Eva Georgetta Light)"/>
        <s v="Johnston, Mrs. Andrew G (Elizabeth Lily&quot; Watson)&quot;"/>
        <s v="Mock, Mr. Philipp Edmund"/>
        <s v="Katavelas, Mr. Vassilios (Catavelas Vassilios&quot;)&quot;"/>
        <s v="Roth, Miss. Sarah A"/>
        <s v="Cacic, Miss. Manda"/>
        <s v="Sap, Mr. Julius"/>
        <s v="Hee, Mr. Ling"/>
        <s v="Karun, Mr. Franz"/>
        <s v="Franklin, Mr. Thomas Parham"/>
        <s v="Goldsmith, Mr. Nathan"/>
        <s v="Corbett, Mrs. Walter H (Irene Colvin)"/>
        <s v="Kimball, Mrs. Edwin Nelson Jr (Gertrude Parsons)"/>
        <s v="Peltomaki, Mr. Nikolai Johannes"/>
        <s v="Chevre, Mr. Paul Romaine"/>
        <s v="Shaughnessy, Mr. Patrick"/>
        <s v="Bucknell, Mrs. William Robert (Emma Eliza Ward)"/>
        <s v="Coutts, Mrs. William (Winnie Minnie&quot; Treanor)&quot;"/>
        <s v="Smith, Mr. Lucien Philip"/>
        <s v="Pulbaum, Mr. Franz"/>
        <s v="Hocking, Miss. Ellen Nellie&quot;&quot;"/>
        <s v="Fortune, Miss. Ethel Flora"/>
        <s v="Mangiavacchi, Mr. Serafino Emilio"/>
        <s v="Rice, Master. Albert"/>
        <s v="Cor, Mr. Bartol"/>
        <s v="Abelseth, Mr. Olaus Jorgensen"/>
        <s v="Davison, Mr. Thomas Henry"/>
        <s v="Chaudanson, Miss. Victorine"/>
        <s v="Dika, Mr. Mirko"/>
        <s v="McCrae, Mr. Arthur Gordon"/>
        <s v="Bjorklund, Mr. Ernst Herbert"/>
        <s v="Bradley, Miss. Bridget Delia"/>
        <s v="Ryerson, Master. John Borie"/>
        <s v="Corey, Mrs. Percy C (Mary Phyllis Elizabeth Miller)"/>
        <s v="Burns, Miss. Mary Delia"/>
        <s v="Moore, Mr. Clarence Bloomfield"/>
        <s v="Tucker, Mr. Gilbert Milligan Jr"/>
        <s v="Fortune, Mrs. Mark (Mary McDougald)"/>
        <s v="Mulvihill, Miss. Bertha E"/>
        <s v="Minkoff, Mr. Lazar"/>
        <s v="Nieminen, Miss. Manta Josefina"/>
        <s v="Ovies y Rodriguez, Mr. Servando"/>
        <s v="Geiger, Miss. Amalie"/>
        <s v="Keeping, Mr. Edwin"/>
        <s v="Miles, Mr. Frank"/>
        <s v="Cornell, Mrs. Robert Clifford (Malvina Helen Lamson)"/>
        <s v="Aldworth, Mr. Charles Augustus"/>
        <s v="Doyle, Miss. Elizabeth"/>
        <s v="Boulos, Master. Akar"/>
        <s v="Straus, Mr. Isidor"/>
        <s v="Case, Mr. Howard Brown"/>
        <s v="Demetri, Mr. Marinko"/>
        <s v="Lamb, Mr. John Joseph"/>
        <s v="Khalil, Mr. Betros"/>
        <s v="Barry, Miss. Julia"/>
        <s v="Badman, Miss. Emily Louisa"/>
        <s v="O'Donoghue, Ms. Bridget"/>
        <s v="Wells, Master. Ralph Lester"/>
        <s v="Dyker, Mrs. Adolf Fredrik (Anna Elisabeth Judith Andersson)"/>
        <s v="Pedersen, Mr. Olaf"/>
        <s v="Davidson, Mrs. Thornton (Orian Hays)"/>
        <s v="Guest, Mr. Robert"/>
        <s v="Birnbaum, Mr. Jakob"/>
        <s v="Tenglin, Mr. Gunnar Isidor"/>
        <s v="Cavendish, Mrs. Tyrell William (Julia Florence Siegel)"/>
        <s v="Makinen, Mr. Kalle Edvard"/>
        <s v="Braf, Miss. Elin Ester Maria"/>
        <s v="Nancarrow, Mr. William Henry"/>
      </sharedItems>
    </cacheField>
    <cacheField name="Sex" numFmtId="0">
      <sharedItems count="2">
        <s v="male"/>
        <s v="female"/>
      </sharedItems>
    </cacheField>
    <cacheField name="Age" numFmtId="0">
      <sharedItems containsString="0" containsBlank="1" containsNumber="1" minValue="2" maxValue="76" count="44">
        <n v="34.5"/>
        <n v="47"/>
        <n v="62"/>
        <n v="27"/>
        <n v="22"/>
        <n v="14"/>
        <n v="30"/>
        <n v="26"/>
        <n v="18"/>
        <n v="21"/>
        <m/>
        <n v="46"/>
        <n v="23"/>
        <n v="63"/>
        <n v="24"/>
        <n v="35"/>
        <n v="45"/>
        <n v="55"/>
        <n v="9"/>
        <n v="48"/>
        <n v="50"/>
        <n v="22.5"/>
        <n v="41"/>
        <n v="33"/>
        <n v="18.5"/>
        <n v="25"/>
        <n v="39"/>
        <n v="60"/>
        <n v="36"/>
        <n v="20"/>
        <n v="28"/>
        <n v="10"/>
        <n v="17"/>
        <n v="32"/>
        <n v="13"/>
        <n v="31"/>
        <n v="29"/>
        <n v="28.5"/>
        <n v="32.5"/>
        <n v="6"/>
        <n v="67"/>
        <n v="49"/>
        <n v="2"/>
        <n v="76"/>
      </sharedItems>
    </cacheField>
    <cacheField name="SibSp" numFmtId="0">
      <sharedItems containsSemiMixedTypes="0" containsString="0" containsNumber="1" containsInteger="1" minValue="0" maxValue="4"/>
    </cacheField>
    <cacheField name="Parch" numFmtId="0">
      <sharedItems containsSemiMixedTypes="0" containsString="0" containsNumber="1" containsInteger="1" minValue="0" maxValue="4"/>
    </cacheField>
    <cacheField name="Ticket" numFmtId="0">
      <sharedItems containsMixedTypes="1" containsNumber="1" containsInteger="1" minValue="694" maxValue="3101298"/>
    </cacheField>
    <cacheField name="Fare" numFmtId="0">
      <sharedItems containsSemiMixedTypes="0" containsString="0" containsNumber="1" minValue="3.1707999999999998" maxValue="263"/>
    </cacheField>
    <cacheField name="Cabin" numFmtId="0">
      <sharedItems containsBlank="1"/>
    </cacheField>
    <cacheField name="Embarked"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x v="0"/>
    <x v="0"/>
    <n v="3"/>
    <x v="0"/>
    <x v="0"/>
    <x v="0"/>
    <n v="0"/>
    <n v="0"/>
    <n v="330911"/>
    <n v="7.8292000000000002"/>
    <m/>
    <s v="Q"/>
  </r>
  <r>
    <x v="1"/>
    <x v="1"/>
    <n v="3"/>
    <x v="1"/>
    <x v="1"/>
    <x v="1"/>
    <n v="1"/>
    <n v="0"/>
    <n v="363272"/>
    <n v="7"/>
    <m/>
    <s v="S"/>
  </r>
  <r>
    <x v="2"/>
    <x v="0"/>
    <n v="2"/>
    <x v="2"/>
    <x v="0"/>
    <x v="2"/>
    <n v="0"/>
    <n v="0"/>
    <n v="240276"/>
    <n v="9.6875"/>
    <m/>
    <s v="Q"/>
  </r>
  <r>
    <x v="3"/>
    <x v="0"/>
    <n v="3"/>
    <x v="3"/>
    <x v="0"/>
    <x v="3"/>
    <n v="0"/>
    <n v="0"/>
    <n v="315154"/>
    <n v="8.6624999999999996"/>
    <m/>
    <s v="S"/>
  </r>
  <r>
    <x v="4"/>
    <x v="1"/>
    <n v="3"/>
    <x v="4"/>
    <x v="1"/>
    <x v="4"/>
    <n v="1"/>
    <n v="1"/>
    <n v="3101298"/>
    <n v="12.2875"/>
    <m/>
    <s v="S"/>
  </r>
  <r>
    <x v="5"/>
    <x v="0"/>
    <n v="3"/>
    <x v="5"/>
    <x v="0"/>
    <x v="5"/>
    <n v="0"/>
    <n v="0"/>
    <n v="7538"/>
    <n v="9.2249999999999996"/>
    <m/>
    <s v="S"/>
  </r>
  <r>
    <x v="6"/>
    <x v="1"/>
    <n v="3"/>
    <x v="6"/>
    <x v="1"/>
    <x v="6"/>
    <n v="0"/>
    <n v="0"/>
    <n v="330972"/>
    <n v="7.6292"/>
    <m/>
    <s v="Q"/>
  </r>
  <r>
    <x v="7"/>
    <x v="0"/>
    <n v="2"/>
    <x v="7"/>
    <x v="0"/>
    <x v="7"/>
    <n v="1"/>
    <n v="1"/>
    <n v="248738"/>
    <n v="29"/>
    <m/>
    <s v="S"/>
  </r>
  <r>
    <x v="8"/>
    <x v="1"/>
    <n v="3"/>
    <x v="8"/>
    <x v="1"/>
    <x v="8"/>
    <n v="0"/>
    <n v="0"/>
    <n v="2657"/>
    <n v="7.2291999999999996"/>
    <m/>
    <s v="C"/>
  </r>
  <r>
    <x v="9"/>
    <x v="0"/>
    <n v="3"/>
    <x v="9"/>
    <x v="0"/>
    <x v="9"/>
    <n v="2"/>
    <n v="0"/>
    <s v="A/4 48871"/>
    <n v="24.15"/>
    <m/>
    <s v="S"/>
  </r>
  <r>
    <x v="10"/>
    <x v="0"/>
    <n v="3"/>
    <x v="10"/>
    <x v="0"/>
    <x v="10"/>
    <n v="0"/>
    <n v="0"/>
    <n v="349220"/>
    <n v="7.8958000000000004"/>
    <m/>
    <s v="S"/>
  </r>
  <r>
    <x v="11"/>
    <x v="0"/>
    <n v="1"/>
    <x v="11"/>
    <x v="0"/>
    <x v="11"/>
    <n v="0"/>
    <n v="0"/>
    <n v="694"/>
    <n v="26"/>
    <m/>
    <s v="S"/>
  </r>
  <r>
    <x v="12"/>
    <x v="1"/>
    <n v="1"/>
    <x v="12"/>
    <x v="1"/>
    <x v="12"/>
    <n v="1"/>
    <n v="0"/>
    <n v="21228"/>
    <n v="82.2667"/>
    <s v="B45"/>
    <s v="S"/>
  </r>
  <r>
    <x v="13"/>
    <x v="0"/>
    <n v="2"/>
    <x v="13"/>
    <x v="0"/>
    <x v="13"/>
    <n v="1"/>
    <n v="0"/>
    <n v="24065"/>
    <n v="26"/>
    <m/>
    <s v="S"/>
  </r>
  <r>
    <x v="14"/>
    <x v="1"/>
    <n v="1"/>
    <x v="14"/>
    <x v="1"/>
    <x v="1"/>
    <n v="1"/>
    <n v="0"/>
    <s v="W.E.P. 5734"/>
    <n v="61.174999999999997"/>
    <s v="E31"/>
    <s v="S"/>
  </r>
  <r>
    <x v="15"/>
    <x v="1"/>
    <n v="2"/>
    <x v="15"/>
    <x v="1"/>
    <x v="14"/>
    <n v="1"/>
    <n v="0"/>
    <s v="SC/PARIS 2167"/>
    <n v="27.720800000000001"/>
    <m/>
    <s v="C"/>
  </r>
  <r>
    <x v="16"/>
    <x v="0"/>
    <n v="2"/>
    <x v="16"/>
    <x v="0"/>
    <x v="15"/>
    <n v="0"/>
    <n v="0"/>
    <n v="233734"/>
    <n v="12.35"/>
    <m/>
    <s v="Q"/>
  </r>
  <r>
    <x v="17"/>
    <x v="0"/>
    <n v="3"/>
    <x v="17"/>
    <x v="0"/>
    <x v="9"/>
    <n v="0"/>
    <n v="0"/>
    <n v="2692"/>
    <n v="7.2249999999999996"/>
    <m/>
    <s v="C"/>
  </r>
  <r>
    <x v="18"/>
    <x v="1"/>
    <n v="3"/>
    <x v="18"/>
    <x v="1"/>
    <x v="3"/>
    <n v="1"/>
    <n v="0"/>
    <s v="STON/O2. 3101270"/>
    <n v="7.9249999999999998"/>
    <m/>
    <s v="S"/>
  </r>
  <r>
    <x v="19"/>
    <x v="1"/>
    <n v="3"/>
    <x v="19"/>
    <x v="1"/>
    <x v="16"/>
    <n v="0"/>
    <n v="0"/>
    <n v="2696"/>
    <n v="7.2249999999999996"/>
    <m/>
    <s v="C"/>
  </r>
  <r>
    <x v="20"/>
    <x v="0"/>
    <n v="1"/>
    <x v="20"/>
    <x v="0"/>
    <x v="17"/>
    <n v="1"/>
    <n v="0"/>
    <s v="PC 17603"/>
    <n v="59.4"/>
    <m/>
    <s v="C"/>
  </r>
  <r>
    <x v="21"/>
    <x v="0"/>
    <n v="3"/>
    <x v="21"/>
    <x v="0"/>
    <x v="18"/>
    <n v="0"/>
    <n v="1"/>
    <s v="C 17368"/>
    <n v="3.1707999999999998"/>
    <m/>
    <s v="S"/>
  </r>
  <r>
    <x v="22"/>
    <x v="1"/>
    <n v="1"/>
    <x v="22"/>
    <x v="1"/>
    <x v="10"/>
    <n v="0"/>
    <n v="0"/>
    <s v="PC 17598"/>
    <n v="31.683299999999999"/>
    <m/>
    <s v="S"/>
  </r>
  <r>
    <x v="23"/>
    <x v="0"/>
    <n v="1"/>
    <x v="23"/>
    <x v="0"/>
    <x v="9"/>
    <n v="0"/>
    <n v="1"/>
    <s v="PC 17597"/>
    <n v="61.379199999999997"/>
    <m/>
    <s v="C"/>
  </r>
  <r>
    <x v="24"/>
    <x v="1"/>
    <n v="1"/>
    <x v="24"/>
    <x v="1"/>
    <x v="19"/>
    <n v="1"/>
    <n v="3"/>
    <s v="PC 17608"/>
    <n v="262.375"/>
    <s v="B57 B59 B63 B66"/>
    <s v="C"/>
  </r>
  <r>
    <x v="25"/>
    <x v="0"/>
    <n v="3"/>
    <x v="25"/>
    <x v="0"/>
    <x v="20"/>
    <n v="1"/>
    <n v="0"/>
    <s v="A/5. 3337"/>
    <n v="14.5"/>
    <m/>
    <s v="S"/>
  </r>
  <r>
    <x v="26"/>
    <x v="1"/>
    <n v="1"/>
    <x v="26"/>
    <x v="1"/>
    <x v="4"/>
    <n v="0"/>
    <n v="1"/>
    <n v="113509"/>
    <n v="61.979199999999999"/>
    <s v="B36"/>
    <s v="C"/>
  </r>
  <r>
    <x v="27"/>
    <x v="0"/>
    <n v="3"/>
    <x v="27"/>
    <x v="0"/>
    <x v="21"/>
    <n v="0"/>
    <n v="0"/>
    <n v="2698"/>
    <n v="7.2249999999999996"/>
    <m/>
    <s v="C"/>
  </r>
  <r>
    <x v="28"/>
    <x v="0"/>
    <n v="1"/>
    <x v="28"/>
    <x v="0"/>
    <x v="22"/>
    <n v="0"/>
    <n v="0"/>
    <n v="113054"/>
    <n v="30.5"/>
    <s v="A21"/>
    <s v="S"/>
  </r>
  <r>
    <x v="29"/>
    <x v="0"/>
    <n v="3"/>
    <x v="29"/>
    <x v="0"/>
    <x v="10"/>
    <n v="2"/>
    <n v="0"/>
    <n v="2662"/>
    <n v="21.679200000000002"/>
    <m/>
    <s v="C"/>
  </r>
  <r>
    <x v="30"/>
    <x v="0"/>
    <n v="2"/>
    <x v="30"/>
    <x v="0"/>
    <x v="20"/>
    <n v="1"/>
    <n v="0"/>
    <s v="SC/AH 3085"/>
    <n v="26"/>
    <m/>
    <s v="S"/>
  </r>
  <r>
    <x v="31"/>
    <x v="0"/>
    <n v="2"/>
    <x v="31"/>
    <x v="0"/>
    <x v="14"/>
    <n v="2"/>
    <n v="0"/>
    <s v="C.A. 31029"/>
    <n v="31.5"/>
    <m/>
    <s v="S"/>
  </r>
  <r>
    <x v="32"/>
    <x v="1"/>
    <n v="3"/>
    <x v="32"/>
    <x v="1"/>
    <x v="23"/>
    <n v="1"/>
    <n v="2"/>
    <s v="C.A. 2315"/>
    <n v="20.574999999999999"/>
    <m/>
    <s v="S"/>
  </r>
  <r>
    <x v="33"/>
    <x v="1"/>
    <n v="3"/>
    <x v="33"/>
    <x v="1"/>
    <x v="10"/>
    <n v="1"/>
    <n v="2"/>
    <s v="W./C. 6607"/>
    <n v="23.45"/>
    <m/>
    <s v="S"/>
  </r>
  <r>
    <x v="34"/>
    <x v="0"/>
    <n v="1"/>
    <x v="34"/>
    <x v="0"/>
    <x v="6"/>
    <n v="1"/>
    <n v="0"/>
    <n v="13236"/>
    <n v="57.75"/>
    <s v="C78"/>
    <s v="C"/>
  </r>
  <r>
    <x v="35"/>
    <x v="0"/>
    <n v="3"/>
    <x v="35"/>
    <x v="0"/>
    <x v="24"/>
    <n v="0"/>
    <n v="0"/>
    <n v="2682"/>
    <n v="7.2291999999999996"/>
    <m/>
    <s v="C"/>
  </r>
  <r>
    <x v="36"/>
    <x v="1"/>
    <n v="3"/>
    <x v="36"/>
    <x v="1"/>
    <x v="10"/>
    <n v="0"/>
    <n v="0"/>
    <n v="342712"/>
    <n v="8.0500000000000007"/>
    <m/>
    <s v="S"/>
  </r>
  <r>
    <x v="37"/>
    <x v="1"/>
    <n v="3"/>
    <x v="37"/>
    <x v="1"/>
    <x v="9"/>
    <n v="0"/>
    <n v="0"/>
    <n v="315087"/>
    <n v="8.6624999999999996"/>
    <m/>
    <s v="S"/>
  </r>
  <r>
    <x v="38"/>
    <x v="0"/>
    <n v="3"/>
    <x v="38"/>
    <x v="0"/>
    <x v="25"/>
    <n v="0"/>
    <n v="0"/>
    <n v="345768"/>
    <n v="9.5"/>
    <m/>
    <s v="S"/>
  </r>
  <r>
    <x v="39"/>
    <x v="0"/>
    <n v="3"/>
    <x v="39"/>
    <x v="0"/>
    <x v="10"/>
    <n v="0"/>
    <n v="0"/>
    <n v="1601"/>
    <n v="56.495800000000003"/>
    <m/>
    <s v="S"/>
  </r>
  <r>
    <x v="40"/>
    <x v="0"/>
    <n v="3"/>
    <x v="40"/>
    <x v="0"/>
    <x v="26"/>
    <n v="0"/>
    <n v="1"/>
    <n v="349256"/>
    <n v="13.416700000000001"/>
    <m/>
    <s v="C"/>
  </r>
  <r>
    <x v="41"/>
    <x v="0"/>
    <n v="1"/>
    <x v="41"/>
    <x v="0"/>
    <x v="10"/>
    <n v="0"/>
    <n v="0"/>
    <n v="113778"/>
    <n v="26.55"/>
    <s v="D34"/>
    <s v="S"/>
  </r>
  <r>
    <x v="42"/>
    <x v="0"/>
    <n v="3"/>
    <x v="42"/>
    <x v="0"/>
    <x v="22"/>
    <n v="0"/>
    <n v="0"/>
    <s v="SOTON/O.Q. 3101263"/>
    <n v="7.85"/>
    <m/>
    <s v="S"/>
  </r>
  <r>
    <x v="43"/>
    <x v="1"/>
    <n v="2"/>
    <x v="43"/>
    <x v="1"/>
    <x v="6"/>
    <n v="0"/>
    <n v="0"/>
    <n v="237249"/>
    <n v="13"/>
    <m/>
    <s v="S"/>
  </r>
  <r>
    <x v="44"/>
    <x v="1"/>
    <n v="1"/>
    <x v="44"/>
    <x v="1"/>
    <x v="16"/>
    <n v="1"/>
    <n v="0"/>
    <n v="11753"/>
    <n v="52.554200000000002"/>
    <s v="D19"/>
    <s v="S"/>
  </r>
  <r>
    <x v="45"/>
    <x v="0"/>
    <n v="3"/>
    <x v="45"/>
    <x v="0"/>
    <x v="25"/>
    <n v="0"/>
    <n v="0"/>
    <s v="STON/O 2. 3101291"/>
    <n v="7.9249999999999998"/>
    <m/>
    <s v="S"/>
  </r>
  <r>
    <x v="46"/>
    <x v="0"/>
    <n v="1"/>
    <x v="46"/>
    <x v="0"/>
    <x v="16"/>
    <n v="0"/>
    <n v="0"/>
    <s v="PC 17594"/>
    <n v="29.7"/>
    <s v="A9"/>
    <s v="C"/>
  </r>
  <r>
    <x v="47"/>
    <x v="0"/>
    <n v="3"/>
    <x v="47"/>
    <x v="0"/>
    <x v="10"/>
    <n v="0"/>
    <n v="0"/>
    <n v="370374"/>
    <n v="7.75"/>
    <m/>
    <s v="Q"/>
  </r>
  <r>
    <x v="48"/>
    <x v="1"/>
    <n v="1"/>
    <x v="48"/>
    <x v="1"/>
    <x v="27"/>
    <n v="0"/>
    <n v="0"/>
    <n v="11813"/>
    <n v="76.291700000000006"/>
    <s v="D15"/>
    <s v="C"/>
  </r>
  <r>
    <x v="49"/>
    <x v="1"/>
    <n v="3"/>
    <x v="49"/>
    <x v="1"/>
    <x v="28"/>
    <n v="0"/>
    <n v="2"/>
    <s v="C.A. 37671"/>
    <n v="15.9"/>
    <m/>
    <s v="S"/>
  </r>
  <r>
    <x v="50"/>
    <x v="0"/>
    <n v="1"/>
    <x v="50"/>
    <x v="0"/>
    <x v="14"/>
    <n v="1"/>
    <n v="0"/>
    <n v="13695"/>
    <n v="60"/>
    <s v="C31"/>
    <s v="S"/>
  </r>
  <r>
    <x v="51"/>
    <x v="0"/>
    <n v="2"/>
    <x v="51"/>
    <x v="0"/>
    <x v="3"/>
    <n v="0"/>
    <n v="0"/>
    <s v="SC/PARIS 2168"/>
    <n v="15.033300000000001"/>
    <m/>
    <s v="C"/>
  </r>
  <r>
    <x v="52"/>
    <x v="1"/>
    <n v="2"/>
    <x v="52"/>
    <x v="1"/>
    <x v="29"/>
    <n v="2"/>
    <n v="1"/>
    <n v="29105"/>
    <n v="23"/>
    <m/>
    <s v="S"/>
  </r>
  <r>
    <x v="53"/>
    <x v="1"/>
    <n v="1"/>
    <x v="53"/>
    <x v="1"/>
    <x v="30"/>
    <n v="3"/>
    <n v="2"/>
    <n v="19950"/>
    <n v="263"/>
    <s v="C23 C25 C27"/>
    <s v="S"/>
  </r>
  <r>
    <x v="54"/>
    <x v="0"/>
    <n v="2"/>
    <x v="54"/>
    <x v="0"/>
    <x v="10"/>
    <n v="0"/>
    <n v="0"/>
    <s v="SC/A.3 2861"/>
    <n v="15.5792"/>
    <m/>
    <s v="C"/>
  </r>
  <r>
    <x v="55"/>
    <x v="0"/>
    <n v="3"/>
    <x v="55"/>
    <x v="0"/>
    <x v="31"/>
    <n v="4"/>
    <n v="1"/>
    <n v="382652"/>
    <n v="29.125"/>
    <m/>
    <s v="Q"/>
  </r>
  <r>
    <x v="56"/>
    <x v="0"/>
    <n v="3"/>
    <x v="56"/>
    <x v="0"/>
    <x v="15"/>
    <n v="0"/>
    <n v="0"/>
    <n v="349230"/>
    <n v="7.8958000000000004"/>
    <m/>
    <s v="S"/>
  </r>
  <r>
    <x v="57"/>
    <x v="0"/>
    <n v="3"/>
    <x v="57"/>
    <x v="0"/>
    <x v="25"/>
    <n v="0"/>
    <n v="0"/>
    <n v="348122"/>
    <n v="7.65"/>
    <s v="F G63"/>
    <s v="S"/>
  </r>
  <r>
    <x v="58"/>
    <x v="0"/>
    <n v="3"/>
    <x v="58"/>
    <x v="0"/>
    <x v="10"/>
    <n v="1"/>
    <n v="0"/>
    <n v="386525"/>
    <n v="16.100000000000001"/>
    <m/>
    <s v="S"/>
  </r>
  <r>
    <x v="59"/>
    <x v="1"/>
    <n v="1"/>
    <x v="59"/>
    <x v="1"/>
    <x v="28"/>
    <n v="0"/>
    <n v="0"/>
    <s v="PC 17608"/>
    <n v="262.375"/>
    <s v="B61"/>
    <s v="C"/>
  </r>
  <r>
    <x v="60"/>
    <x v="0"/>
    <n v="3"/>
    <x v="60"/>
    <x v="0"/>
    <x v="32"/>
    <n v="0"/>
    <n v="0"/>
    <n v="349232"/>
    <n v="7.8958000000000004"/>
    <m/>
    <s v="S"/>
  </r>
  <r>
    <x v="61"/>
    <x v="0"/>
    <n v="2"/>
    <x v="61"/>
    <x v="0"/>
    <x v="33"/>
    <n v="0"/>
    <n v="0"/>
    <n v="237216"/>
    <n v="13.5"/>
    <m/>
    <s v="S"/>
  </r>
  <r>
    <x v="62"/>
    <x v="0"/>
    <n v="3"/>
    <x v="62"/>
    <x v="0"/>
    <x v="8"/>
    <n v="0"/>
    <n v="0"/>
    <n v="347090"/>
    <n v="7.75"/>
    <m/>
    <s v="S"/>
  </r>
  <r>
    <x v="63"/>
    <x v="1"/>
    <n v="3"/>
    <x v="63"/>
    <x v="1"/>
    <x v="4"/>
    <n v="0"/>
    <n v="0"/>
    <n v="334914"/>
    <n v="7.7249999999999996"/>
    <m/>
    <s v="Q"/>
  </r>
  <r>
    <x v="64"/>
    <x v="0"/>
    <n v="1"/>
    <x v="64"/>
    <x v="0"/>
    <x v="34"/>
    <n v="2"/>
    <n v="2"/>
    <s v="PC 17608"/>
    <n v="262.375"/>
    <s v="B57 B59 B63 B66"/>
    <s v="C"/>
  </r>
  <r>
    <x v="65"/>
    <x v="1"/>
    <n v="2"/>
    <x v="65"/>
    <x v="1"/>
    <x v="10"/>
    <n v="0"/>
    <n v="0"/>
    <s v="F.C.C. 13534"/>
    <n v="21"/>
    <m/>
    <s v="S"/>
  </r>
  <r>
    <x v="66"/>
    <x v="1"/>
    <n v="3"/>
    <x v="66"/>
    <x v="1"/>
    <x v="8"/>
    <n v="0"/>
    <n v="0"/>
    <n v="330963"/>
    <n v="7.8792"/>
    <m/>
    <s v="Q"/>
  </r>
  <r>
    <x v="67"/>
    <x v="0"/>
    <n v="1"/>
    <x v="67"/>
    <x v="0"/>
    <x v="1"/>
    <n v="0"/>
    <n v="0"/>
    <n v="113796"/>
    <n v="42.4"/>
    <m/>
    <s v="S"/>
  </r>
  <r>
    <x v="68"/>
    <x v="0"/>
    <n v="1"/>
    <x v="68"/>
    <x v="0"/>
    <x v="35"/>
    <n v="0"/>
    <n v="0"/>
    <n v="2543"/>
    <n v="28.537500000000001"/>
    <s v="C53"/>
    <s v="C"/>
  </r>
  <r>
    <x v="69"/>
    <x v="1"/>
    <n v="1"/>
    <x v="69"/>
    <x v="1"/>
    <x v="27"/>
    <n v="1"/>
    <n v="4"/>
    <n v="19950"/>
    <n v="263"/>
    <s v="C23 C25 C27"/>
    <s v="S"/>
  </r>
  <r>
    <x v="70"/>
    <x v="1"/>
    <n v="3"/>
    <x v="70"/>
    <x v="1"/>
    <x v="14"/>
    <n v="0"/>
    <n v="0"/>
    <n v="382653"/>
    <n v="7.75"/>
    <m/>
    <s v="Q"/>
  </r>
  <r>
    <x v="71"/>
    <x v="0"/>
    <n v="3"/>
    <x v="71"/>
    <x v="0"/>
    <x v="9"/>
    <n v="0"/>
    <n v="0"/>
    <n v="349211"/>
    <n v="7.8958000000000004"/>
    <m/>
    <s v="S"/>
  </r>
  <r>
    <x v="72"/>
    <x v="1"/>
    <n v="3"/>
    <x v="72"/>
    <x v="1"/>
    <x v="36"/>
    <n v="0"/>
    <n v="0"/>
    <n v="3101297"/>
    <n v="7.9249999999999998"/>
    <m/>
    <s v="S"/>
  </r>
  <r>
    <x v="73"/>
    <x v="0"/>
    <n v="1"/>
    <x v="73"/>
    <x v="0"/>
    <x v="37"/>
    <n v="0"/>
    <n v="0"/>
    <s v="PC 17562"/>
    <n v="27.720800000000001"/>
    <s v="D43"/>
    <s v="C"/>
  </r>
  <r>
    <x v="74"/>
    <x v="1"/>
    <n v="1"/>
    <x v="74"/>
    <x v="1"/>
    <x v="15"/>
    <n v="0"/>
    <n v="0"/>
    <n v="113503"/>
    <n v="211.5"/>
    <s v="C130"/>
    <s v="C"/>
  </r>
  <r>
    <x v="75"/>
    <x v="0"/>
    <n v="1"/>
    <x v="75"/>
    <x v="0"/>
    <x v="38"/>
    <n v="0"/>
    <n v="0"/>
    <n v="113503"/>
    <n v="211.5"/>
    <s v="C132"/>
    <s v="C"/>
  </r>
  <r>
    <x v="76"/>
    <x v="0"/>
    <n v="3"/>
    <x v="76"/>
    <x v="0"/>
    <x v="10"/>
    <n v="0"/>
    <n v="0"/>
    <n v="359306"/>
    <n v="8.0500000000000007"/>
    <m/>
    <s v="S"/>
  </r>
  <r>
    <x v="77"/>
    <x v="1"/>
    <n v="1"/>
    <x v="77"/>
    <x v="1"/>
    <x v="17"/>
    <n v="2"/>
    <n v="0"/>
    <n v="11770"/>
    <n v="25.7"/>
    <s v="C101"/>
    <s v="S"/>
  </r>
  <r>
    <x v="78"/>
    <x v="0"/>
    <n v="2"/>
    <x v="78"/>
    <x v="0"/>
    <x v="6"/>
    <n v="0"/>
    <n v="0"/>
    <n v="248744"/>
    <n v="13"/>
    <m/>
    <s v="S"/>
  </r>
  <r>
    <x v="79"/>
    <x v="1"/>
    <n v="3"/>
    <x v="79"/>
    <x v="1"/>
    <x v="14"/>
    <n v="0"/>
    <n v="0"/>
    <n v="368702"/>
    <n v="7.75"/>
    <m/>
    <s v="Q"/>
  </r>
  <r>
    <x v="80"/>
    <x v="0"/>
    <n v="3"/>
    <x v="80"/>
    <x v="0"/>
    <x v="39"/>
    <n v="1"/>
    <n v="1"/>
    <n v="2678"/>
    <n v="15.245799999999999"/>
    <m/>
    <s v="C"/>
  </r>
  <r>
    <x v="81"/>
    <x v="0"/>
    <n v="1"/>
    <x v="81"/>
    <x v="0"/>
    <x v="40"/>
    <n v="1"/>
    <n v="0"/>
    <s v="PC 17483"/>
    <n v="221.7792"/>
    <s v="C55 C57"/>
    <s v="S"/>
  </r>
  <r>
    <x v="82"/>
    <x v="0"/>
    <n v="1"/>
    <x v="82"/>
    <x v="0"/>
    <x v="41"/>
    <n v="0"/>
    <n v="0"/>
    <n v="19924"/>
    <n v="26"/>
    <m/>
    <s v="S"/>
  </r>
  <r>
    <x v="83"/>
    <x v="0"/>
    <n v="3"/>
    <x v="83"/>
    <x v="0"/>
    <x v="10"/>
    <n v="0"/>
    <n v="0"/>
    <n v="349238"/>
    <n v="7.8958000000000004"/>
    <m/>
    <s v="S"/>
  </r>
  <r>
    <x v="84"/>
    <x v="0"/>
    <n v="2"/>
    <x v="84"/>
    <x v="0"/>
    <x v="10"/>
    <n v="0"/>
    <n v="0"/>
    <n v="240261"/>
    <n v="10.708299999999999"/>
    <m/>
    <s v="Q"/>
  </r>
  <r>
    <x v="85"/>
    <x v="0"/>
    <n v="3"/>
    <x v="85"/>
    <x v="0"/>
    <x v="10"/>
    <n v="1"/>
    <n v="0"/>
    <n v="2660"/>
    <n v="14.4542"/>
    <m/>
    <s v="C"/>
  </r>
  <r>
    <x v="86"/>
    <x v="1"/>
    <n v="3"/>
    <x v="86"/>
    <x v="1"/>
    <x v="3"/>
    <n v="0"/>
    <n v="0"/>
    <n v="330844"/>
    <n v="7.8792"/>
    <m/>
    <s v="Q"/>
  </r>
  <r>
    <x v="87"/>
    <x v="1"/>
    <n v="3"/>
    <x v="87"/>
    <x v="1"/>
    <x v="8"/>
    <n v="0"/>
    <n v="0"/>
    <s v="A/4 31416"/>
    <n v="8.0500000000000007"/>
    <m/>
    <s v="S"/>
  </r>
  <r>
    <x v="88"/>
    <x v="1"/>
    <n v="3"/>
    <x v="88"/>
    <x v="1"/>
    <x v="10"/>
    <n v="0"/>
    <n v="0"/>
    <n v="364856"/>
    <n v="7.75"/>
    <m/>
    <s v="Q"/>
  </r>
  <r>
    <x v="89"/>
    <x v="0"/>
    <n v="2"/>
    <x v="89"/>
    <x v="0"/>
    <x v="42"/>
    <n v="1"/>
    <n v="1"/>
    <n v="29103"/>
    <n v="23"/>
    <m/>
    <s v="S"/>
  </r>
  <r>
    <x v="90"/>
    <x v="1"/>
    <n v="3"/>
    <x v="90"/>
    <x v="1"/>
    <x v="4"/>
    <n v="1"/>
    <n v="0"/>
    <n v="347072"/>
    <n v="13.9"/>
    <m/>
    <s v="S"/>
  </r>
  <r>
    <x v="91"/>
    <x v="0"/>
    <n v="3"/>
    <x v="91"/>
    <x v="0"/>
    <x v="10"/>
    <n v="0"/>
    <n v="0"/>
    <n v="345498"/>
    <n v="7.7750000000000004"/>
    <m/>
    <s v="S"/>
  </r>
  <r>
    <x v="92"/>
    <x v="1"/>
    <n v="1"/>
    <x v="92"/>
    <x v="1"/>
    <x v="3"/>
    <n v="1"/>
    <n v="2"/>
    <s v="F.C. 12750"/>
    <n v="52"/>
    <s v="B71"/>
    <s v="S"/>
  </r>
  <r>
    <x v="93"/>
    <x v="0"/>
    <n v="3"/>
    <x v="93"/>
    <x v="0"/>
    <x v="10"/>
    <n v="0"/>
    <n v="0"/>
    <n v="376563"/>
    <n v="8.0500000000000007"/>
    <m/>
    <s v="S"/>
  </r>
  <r>
    <x v="94"/>
    <x v="0"/>
    <n v="1"/>
    <x v="94"/>
    <x v="0"/>
    <x v="25"/>
    <n v="0"/>
    <n v="0"/>
    <n v="13905"/>
    <n v="26"/>
    <m/>
    <s v="C"/>
  </r>
  <r>
    <x v="95"/>
    <x v="0"/>
    <n v="3"/>
    <x v="95"/>
    <x v="0"/>
    <x v="25"/>
    <n v="0"/>
    <n v="0"/>
    <n v="350033"/>
    <n v="7.7957999999999998"/>
    <m/>
    <s v="S"/>
  </r>
  <r>
    <x v="96"/>
    <x v="1"/>
    <n v="1"/>
    <x v="96"/>
    <x v="1"/>
    <x v="43"/>
    <n v="1"/>
    <n v="0"/>
    <n v="19877"/>
    <n v="78.849999999999994"/>
    <s v="C46"/>
    <s v="S"/>
  </r>
  <r>
    <x v="97"/>
    <x v="0"/>
    <n v="3"/>
    <x v="97"/>
    <x v="0"/>
    <x v="36"/>
    <n v="0"/>
    <n v="0"/>
    <s v="STON/O 2. 3101268"/>
    <n v="7.9249999999999998"/>
    <m/>
    <s v="S"/>
  </r>
  <r>
    <x v="98"/>
    <x v="1"/>
    <n v="3"/>
    <x v="98"/>
    <x v="1"/>
    <x v="29"/>
    <n v="0"/>
    <n v="0"/>
    <n v="347471"/>
    <n v="7.8541999999999996"/>
    <m/>
    <s v="S"/>
  </r>
  <r>
    <x v="99"/>
    <x v="0"/>
    <n v="3"/>
    <x v="99"/>
    <x v="0"/>
    <x v="23"/>
    <n v="0"/>
    <n v="0"/>
    <s v="A./5. 3338"/>
    <n v="8.0500000000000007"/>
    <m/>
    <s v="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8" indent="0" outline="1" outlineData="1" multipleFieldFilters="0" chartFormat="1">
  <location ref="A3:C106" firstHeaderRow="0" firstDataRow="1" firstDataCol="1"/>
  <pivotFields count="12">
    <pivotField showAll="0">
      <items count="1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dataField="1" showAll="0">
      <items count="3">
        <item x="0"/>
        <item x="1"/>
        <item t="default"/>
      </items>
    </pivotField>
    <pivotField showAll="0"/>
    <pivotField axis="axisRow" showAll="0">
      <items count="101">
        <item x="57"/>
        <item x="8"/>
        <item x="78"/>
        <item x="19"/>
        <item x="17"/>
        <item x="87"/>
        <item x="86"/>
        <item x="94"/>
        <item x="62"/>
        <item x="80"/>
        <item x="63"/>
        <item x="28"/>
        <item x="98"/>
        <item x="48"/>
        <item x="66"/>
        <item x="37"/>
        <item x="7"/>
        <item x="82"/>
        <item x="96"/>
        <item x="14"/>
        <item x="59"/>
        <item x="46"/>
        <item x="6"/>
        <item x="56"/>
        <item x="43"/>
        <item x="65"/>
        <item x="77"/>
        <item x="49"/>
        <item x="27"/>
        <item x="92"/>
        <item x="9"/>
        <item x="58"/>
        <item x="32"/>
        <item x="15"/>
        <item x="83"/>
        <item x="60"/>
        <item x="79"/>
        <item x="90"/>
        <item x="22"/>
        <item x="53"/>
        <item x="69"/>
        <item x="41"/>
        <item x="74"/>
        <item x="42"/>
        <item x="93"/>
        <item x="39"/>
        <item x="4"/>
        <item x="52"/>
        <item x="13"/>
        <item x="10"/>
        <item x="18"/>
        <item x="31"/>
        <item x="33"/>
        <item x="11"/>
        <item x="40"/>
        <item x="35"/>
        <item x="16"/>
        <item x="75"/>
        <item x="0"/>
        <item x="85"/>
        <item x="44"/>
        <item x="84"/>
        <item x="30"/>
        <item x="97"/>
        <item x="54"/>
        <item x="61"/>
        <item x="76"/>
        <item x="71"/>
        <item x="34"/>
        <item x="67"/>
        <item x="70"/>
        <item x="2"/>
        <item x="99"/>
        <item x="72"/>
        <item x="88"/>
        <item x="21"/>
        <item x="26"/>
        <item x="73"/>
        <item x="91"/>
        <item x="45"/>
        <item x="51"/>
        <item x="55"/>
        <item x="25"/>
        <item x="36"/>
        <item x="20"/>
        <item x="64"/>
        <item x="24"/>
        <item x="29"/>
        <item x="38"/>
        <item x="47"/>
        <item x="50"/>
        <item x="12"/>
        <item x="81"/>
        <item x="5"/>
        <item x="95"/>
        <item x="68"/>
        <item x="89"/>
        <item x="1"/>
        <item x="23"/>
        <item x="3"/>
        <item t="default"/>
      </items>
    </pivotField>
    <pivotField axis="axisRow" showAll="0">
      <items count="3">
        <item x="1"/>
        <item x="0"/>
        <item t="default"/>
      </items>
    </pivotField>
    <pivotField dataField="1" showAll="0">
      <items count="45">
        <item x="42"/>
        <item x="39"/>
        <item x="18"/>
        <item x="31"/>
        <item x="34"/>
        <item x="5"/>
        <item x="32"/>
        <item x="8"/>
        <item x="24"/>
        <item x="29"/>
        <item x="9"/>
        <item x="4"/>
        <item x="21"/>
        <item x="12"/>
        <item x="14"/>
        <item x="25"/>
        <item x="7"/>
        <item x="3"/>
        <item x="30"/>
        <item x="37"/>
        <item x="36"/>
        <item x="6"/>
        <item x="35"/>
        <item x="33"/>
        <item x="38"/>
        <item x="23"/>
        <item x="0"/>
        <item x="15"/>
        <item x="28"/>
        <item x="26"/>
        <item x="22"/>
        <item x="16"/>
        <item x="11"/>
        <item x="1"/>
        <item x="19"/>
        <item x="41"/>
        <item x="20"/>
        <item x="17"/>
        <item x="27"/>
        <item x="2"/>
        <item x="13"/>
        <item x="40"/>
        <item x="43"/>
        <item x="10"/>
        <item t="default"/>
      </items>
    </pivotField>
    <pivotField showAll="0"/>
    <pivotField showAll="0"/>
    <pivotField showAll="0"/>
    <pivotField showAll="0"/>
    <pivotField showAll="0"/>
    <pivotField showAll="0"/>
  </pivotFields>
  <rowFields count="2">
    <field x="4"/>
    <field x="3"/>
  </rowFields>
  <rowItems count="103">
    <i>
      <x/>
    </i>
    <i r="1">
      <x v="1"/>
    </i>
    <i r="1">
      <x v="3"/>
    </i>
    <i r="1">
      <x v="5"/>
    </i>
    <i r="1">
      <x v="6"/>
    </i>
    <i r="1">
      <x v="10"/>
    </i>
    <i r="1">
      <x v="12"/>
    </i>
    <i r="1">
      <x v="13"/>
    </i>
    <i r="1">
      <x v="14"/>
    </i>
    <i r="1">
      <x v="15"/>
    </i>
    <i r="1">
      <x v="18"/>
    </i>
    <i r="1">
      <x v="19"/>
    </i>
    <i r="1">
      <x v="20"/>
    </i>
    <i r="1">
      <x v="22"/>
    </i>
    <i r="1">
      <x v="24"/>
    </i>
    <i r="1">
      <x v="25"/>
    </i>
    <i r="1">
      <x v="26"/>
    </i>
    <i r="1">
      <x v="27"/>
    </i>
    <i r="1">
      <x v="29"/>
    </i>
    <i r="1">
      <x v="32"/>
    </i>
    <i r="1">
      <x v="33"/>
    </i>
    <i r="1">
      <x v="36"/>
    </i>
    <i r="1">
      <x v="37"/>
    </i>
    <i r="1">
      <x v="38"/>
    </i>
    <i r="1">
      <x v="39"/>
    </i>
    <i r="1">
      <x v="40"/>
    </i>
    <i r="1">
      <x v="42"/>
    </i>
    <i r="1">
      <x v="46"/>
    </i>
    <i r="1">
      <x v="47"/>
    </i>
    <i r="1">
      <x v="50"/>
    </i>
    <i r="1">
      <x v="52"/>
    </i>
    <i r="1">
      <x v="60"/>
    </i>
    <i r="1">
      <x v="70"/>
    </i>
    <i r="1">
      <x v="73"/>
    </i>
    <i r="1">
      <x v="74"/>
    </i>
    <i r="1">
      <x v="76"/>
    </i>
    <i r="1">
      <x v="83"/>
    </i>
    <i r="1">
      <x v="86"/>
    </i>
    <i r="1">
      <x v="91"/>
    </i>
    <i r="1">
      <x v="97"/>
    </i>
    <i>
      <x v="1"/>
    </i>
    <i r="1">
      <x/>
    </i>
    <i r="1">
      <x v="2"/>
    </i>
    <i r="1">
      <x v="4"/>
    </i>
    <i r="1">
      <x v="7"/>
    </i>
    <i r="1">
      <x v="8"/>
    </i>
    <i r="1">
      <x v="9"/>
    </i>
    <i r="1">
      <x v="11"/>
    </i>
    <i r="1">
      <x v="16"/>
    </i>
    <i r="1">
      <x v="17"/>
    </i>
    <i r="1">
      <x v="21"/>
    </i>
    <i r="1">
      <x v="23"/>
    </i>
    <i r="1">
      <x v="28"/>
    </i>
    <i r="1">
      <x v="30"/>
    </i>
    <i r="1">
      <x v="31"/>
    </i>
    <i r="1">
      <x v="34"/>
    </i>
    <i r="1">
      <x v="35"/>
    </i>
    <i r="1">
      <x v="41"/>
    </i>
    <i r="1">
      <x v="43"/>
    </i>
    <i r="1">
      <x v="44"/>
    </i>
    <i r="1">
      <x v="45"/>
    </i>
    <i r="1">
      <x v="48"/>
    </i>
    <i r="1">
      <x v="49"/>
    </i>
    <i r="1">
      <x v="51"/>
    </i>
    <i r="1">
      <x v="53"/>
    </i>
    <i r="1">
      <x v="54"/>
    </i>
    <i r="1">
      <x v="55"/>
    </i>
    <i r="1">
      <x v="56"/>
    </i>
    <i r="1">
      <x v="57"/>
    </i>
    <i r="1">
      <x v="58"/>
    </i>
    <i r="1">
      <x v="59"/>
    </i>
    <i r="1">
      <x v="61"/>
    </i>
    <i r="1">
      <x v="62"/>
    </i>
    <i r="1">
      <x v="63"/>
    </i>
    <i r="1">
      <x v="64"/>
    </i>
    <i r="1">
      <x v="65"/>
    </i>
    <i r="1">
      <x v="66"/>
    </i>
    <i r="1">
      <x v="67"/>
    </i>
    <i r="1">
      <x v="68"/>
    </i>
    <i r="1">
      <x v="69"/>
    </i>
    <i r="1">
      <x v="71"/>
    </i>
    <i r="1">
      <x v="72"/>
    </i>
    <i r="1">
      <x v="75"/>
    </i>
    <i r="1">
      <x v="77"/>
    </i>
    <i r="1">
      <x v="78"/>
    </i>
    <i r="1">
      <x v="79"/>
    </i>
    <i r="1">
      <x v="80"/>
    </i>
    <i r="1">
      <x v="81"/>
    </i>
    <i r="1">
      <x v="82"/>
    </i>
    <i r="1">
      <x v="84"/>
    </i>
    <i r="1">
      <x v="85"/>
    </i>
    <i r="1">
      <x v="87"/>
    </i>
    <i r="1">
      <x v="88"/>
    </i>
    <i r="1">
      <x v="89"/>
    </i>
    <i r="1">
      <x v="90"/>
    </i>
    <i r="1">
      <x v="92"/>
    </i>
    <i r="1">
      <x v="93"/>
    </i>
    <i r="1">
      <x v="94"/>
    </i>
    <i r="1">
      <x v="95"/>
    </i>
    <i r="1">
      <x v="96"/>
    </i>
    <i r="1">
      <x v="98"/>
    </i>
    <i r="1">
      <x v="99"/>
    </i>
    <i t="grand">
      <x/>
    </i>
  </rowItems>
  <colFields count="1">
    <field x="-2"/>
  </colFields>
  <colItems count="2">
    <i>
      <x/>
    </i>
    <i i="1">
      <x v="1"/>
    </i>
  </colItems>
  <dataFields count="2">
    <dataField name="Sum of Survived" fld="1" baseField="0" baseItem="0"/>
    <dataField name="Sum of Age" fld="5" baseField="0" baseItem="0"/>
  </dataFields>
  <chartFormats count="2">
    <chartFormat chart="0" format="9" series="1">
      <pivotArea type="data" outline="0" fieldPosition="0">
        <references count="1">
          <reference field="4294967294" count="1" selected="0">
            <x v="0"/>
          </reference>
        </references>
      </pivotArea>
    </chartFormat>
    <chartFormat chart="0"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ge" sourceName="Age">
  <pivotTables>
    <pivotTable tabId="4" name="PivotTable1"/>
  </pivotTables>
  <data>
    <tabular pivotCacheId="1">
      <items count="44">
        <i x="42" s="1"/>
        <i x="39" s="1"/>
        <i x="18" s="1"/>
        <i x="31" s="1"/>
        <i x="34" s="1"/>
        <i x="5" s="1"/>
        <i x="32" s="1"/>
        <i x="8" s="1"/>
        <i x="24" s="1"/>
        <i x="29" s="1"/>
        <i x="9" s="1"/>
        <i x="4" s="1"/>
        <i x="21" s="1"/>
        <i x="12" s="1"/>
        <i x="14" s="1"/>
        <i x="25" s="1"/>
        <i x="7" s="1"/>
        <i x="3" s="1"/>
        <i x="30" s="1"/>
        <i x="37" s="1"/>
        <i x="36" s="1"/>
        <i x="6" s="1"/>
        <i x="35" s="1"/>
        <i x="33" s="1"/>
        <i x="38" s="1"/>
        <i x="23" s="1"/>
        <i x="0" s="1"/>
        <i x="15" s="1"/>
        <i x="28" s="1"/>
        <i x="26" s="1"/>
        <i x="22" s="1"/>
        <i x="16" s="1"/>
        <i x="11" s="1"/>
        <i x="1" s="1"/>
        <i x="19" s="1"/>
        <i x="41" s="1"/>
        <i x="20" s="1"/>
        <i x="17" s="1"/>
        <i x="27" s="1"/>
        <i x="2" s="1"/>
        <i x="13" s="1"/>
        <i x="40" s="1"/>
        <i x="43"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ex" sourceName="Sex">
  <pivotTables>
    <pivotTable tabId="4" name="PivotTable1"/>
  </pivotTables>
  <data>
    <tabular pivotCacheId="1">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ame" sourceName="Name">
  <pivotTables>
    <pivotTable tabId="4" name="PivotTable1"/>
  </pivotTables>
  <data>
    <tabular pivotCacheId="1">
      <items count="100">
        <i x="57" s="1"/>
        <i x="8" s="1"/>
        <i x="78" s="1"/>
        <i x="19" s="1"/>
        <i x="17" s="1"/>
        <i x="87" s="1"/>
        <i x="86" s="1"/>
        <i x="94" s="1"/>
        <i x="62" s="1"/>
        <i x="80" s="1"/>
        <i x="63" s="1"/>
        <i x="28" s="1"/>
        <i x="98" s="1"/>
        <i x="48" s="1"/>
        <i x="66" s="1"/>
        <i x="37" s="1"/>
        <i x="7" s="1"/>
        <i x="82" s="1"/>
        <i x="96" s="1"/>
        <i x="14" s="1"/>
        <i x="59" s="1"/>
        <i x="46" s="1"/>
        <i x="6" s="1"/>
        <i x="56" s="1"/>
        <i x="43" s="1"/>
        <i x="65" s="1"/>
        <i x="77" s="1"/>
        <i x="49" s="1"/>
        <i x="27" s="1"/>
        <i x="92" s="1"/>
        <i x="9" s="1"/>
        <i x="58" s="1"/>
        <i x="32" s="1"/>
        <i x="15" s="1"/>
        <i x="83" s="1"/>
        <i x="60" s="1"/>
        <i x="79" s="1"/>
        <i x="90" s="1"/>
        <i x="22" s="1"/>
        <i x="53" s="1"/>
        <i x="69" s="1"/>
        <i x="41" s="1"/>
        <i x="74" s="1"/>
        <i x="42" s="1"/>
        <i x="93" s="1"/>
        <i x="39" s="1"/>
        <i x="4" s="1"/>
        <i x="52" s="1"/>
        <i x="13" s="1"/>
        <i x="10" s="1"/>
        <i x="18" s="1"/>
        <i x="31" s="1"/>
        <i x="33" s="1"/>
        <i x="11" s="1"/>
        <i x="40" s="1"/>
        <i x="35" s="1"/>
        <i x="16" s="1"/>
        <i x="75" s="1"/>
        <i x="0" s="1"/>
        <i x="85" s="1"/>
        <i x="44" s="1"/>
        <i x="84" s="1"/>
        <i x="30" s="1"/>
        <i x="97" s="1"/>
        <i x="54" s="1"/>
        <i x="61" s="1"/>
        <i x="76" s="1"/>
        <i x="71" s="1"/>
        <i x="34" s="1"/>
        <i x="67" s="1"/>
        <i x="70" s="1"/>
        <i x="2" s="1"/>
        <i x="99" s="1"/>
        <i x="72" s="1"/>
        <i x="88" s="1"/>
        <i x="21" s="1"/>
        <i x="26" s="1"/>
        <i x="73" s="1"/>
        <i x="91" s="1"/>
        <i x="45" s="1"/>
        <i x="51" s="1"/>
        <i x="55" s="1"/>
        <i x="25" s="1"/>
        <i x="36" s="1"/>
        <i x="20" s="1"/>
        <i x="64" s="1"/>
        <i x="24" s="1"/>
        <i x="29" s="1"/>
        <i x="38" s="1"/>
        <i x="47" s="1"/>
        <i x="50" s="1"/>
        <i x="12" s="1"/>
        <i x="81" s="1"/>
        <i x="5" s="1"/>
        <i x="95" s="1"/>
        <i x="68" s="1"/>
        <i x="89" s="1"/>
        <i x="1" s="1"/>
        <i x="23"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urvived" sourceName="Survived">
  <pivotTables>
    <pivotTable tabId="4" name="PivotTable1"/>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assengerId" sourceName="PassengerId">
  <pivotTables>
    <pivotTable tabId="4" name="PivotTable1"/>
  </pivotTables>
  <data>
    <tabular pivotCacheId="1">
      <items count="1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ge" cache="Slicer_Age" caption="Age" style="SlicerStyleDark2" rowHeight="241300"/>
  <slicer name="Sex" cache="Slicer_Sex" caption="Sex" style="SlicerStyleDark1" rowHeight="241300"/>
  <slicer name="Name" cache="Slicer_Name" caption="Name" style="SlicerStyleDark6" rowHeight="241300"/>
  <slicer name="Survived" cache="Slicer_Survived" caption="Survived" style="SlicerStyleDark4" rowHeight="241300"/>
  <slicer name="PassengerId" cache="Slicer_PassengerId" caption="PassengerId" style="SlicerStyleDark3" rowHeight="241300"/>
</slicers>
</file>

<file path=xl/tables/table1.xml><?xml version="1.0" encoding="utf-8"?>
<table xmlns="http://schemas.openxmlformats.org/spreadsheetml/2006/main" id="2" name="Table2" displayName="Table2" ref="A1:L101" totalsRowShown="0">
  <autoFilter ref="A1:L101"/>
  <tableColumns count="12">
    <tableColumn id="1" name="PassengerId"/>
    <tableColumn id="2" name="Survived"/>
    <tableColumn id="3" name="Passsengers class"/>
    <tableColumn id="4" name="Name"/>
    <tableColumn id="5" name="Sex"/>
    <tableColumn id="6" name="Age"/>
    <tableColumn id="7" name="Sibling"/>
    <tableColumn id="8" name="No.of parents"/>
    <tableColumn id="9" name="Ticket"/>
    <tableColumn id="10" name="Fare"/>
    <tableColumn id="11" name="Cabin"/>
    <tableColumn id="12" name="Embarked"/>
  </tableColumns>
  <tableStyleInfo name="TableStyleDark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1"/>
  <sheetViews>
    <sheetView workbookViewId="0">
      <selection activeCell="P17" sqref="P17"/>
    </sheetView>
  </sheetViews>
  <sheetFormatPr defaultRowHeight="15" x14ac:dyDescent="0.25"/>
  <cols>
    <col min="1" max="1" width="10.7109375" bestFit="1" customWidth="1"/>
    <col min="2" max="2" width="7.7109375" bestFit="1" customWidth="1"/>
    <col min="3" max="3" width="13.5703125" bestFit="1" customWidth="1"/>
    <col min="4" max="4" width="49.5703125" bestFit="1" customWidth="1"/>
    <col min="5" max="5" width="6.7109375" bestFit="1" customWidth="1"/>
    <col min="6" max="6" width="5" bestFit="1" customWidth="1"/>
    <col min="7" max="7" width="6.140625" bestFit="1" customWidth="1"/>
    <col min="8" max="8" width="12.28515625" bestFit="1" customWidth="1"/>
    <col min="9" max="9" width="19.140625" bestFit="1" customWidth="1"/>
    <col min="10" max="10" width="9" bestFit="1" customWidth="1"/>
    <col min="11" max="11" width="14.85546875" bestFit="1" customWidth="1"/>
    <col min="12" max="12" width="9.140625" bestFit="1" customWidth="1"/>
  </cols>
  <sheetData>
    <row r="1" spans="1:12" x14ac:dyDescent="0.25">
      <c r="A1" s="6" t="s">
        <v>0</v>
      </c>
      <c r="B1" s="6" t="s">
        <v>1</v>
      </c>
      <c r="C1" s="6" t="s">
        <v>172</v>
      </c>
      <c r="D1" s="6" t="s">
        <v>3</v>
      </c>
      <c r="E1" s="6" t="s">
        <v>4</v>
      </c>
      <c r="F1" s="6" t="s">
        <v>5</v>
      </c>
      <c r="G1" s="6" t="s">
        <v>171</v>
      </c>
      <c r="H1" s="6" t="s">
        <v>170</v>
      </c>
      <c r="I1" s="6" t="s">
        <v>8</v>
      </c>
      <c r="J1" s="6" t="s">
        <v>9</v>
      </c>
      <c r="K1" s="6" t="s">
        <v>10</v>
      </c>
      <c r="L1" s="6" t="s">
        <v>11</v>
      </c>
    </row>
    <row r="2" spans="1:12" x14ac:dyDescent="0.25">
      <c r="A2">
        <v>892</v>
      </c>
      <c r="B2">
        <v>0</v>
      </c>
      <c r="C2">
        <v>3</v>
      </c>
      <c r="D2" t="s">
        <v>12</v>
      </c>
      <c r="E2" t="s">
        <v>13</v>
      </c>
      <c r="F2">
        <v>34.5</v>
      </c>
      <c r="G2">
        <v>0</v>
      </c>
      <c r="H2">
        <v>0</v>
      </c>
      <c r="I2">
        <v>330911</v>
      </c>
      <c r="J2">
        <v>7.8292000000000002</v>
      </c>
      <c r="L2" t="s">
        <v>14</v>
      </c>
    </row>
    <row r="3" spans="1:12" x14ac:dyDescent="0.25">
      <c r="A3">
        <v>893</v>
      </c>
      <c r="B3">
        <v>1</v>
      </c>
      <c r="C3">
        <v>3</v>
      </c>
      <c r="D3" t="s">
        <v>15</v>
      </c>
      <c r="E3" t="s">
        <v>16</v>
      </c>
      <c r="F3">
        <v>47</v>
      </c>
      <c r="G3">
        <v>1</v>
      </c>
      <c r="H3">
        <v>0</v>
      </c>
      <c r="I3">
        <v>363272</v>
      </c>
      <c r="J3">
        <v>7</v>
      </c>
      <c r="L3" t="s">
        <v>17</v>
      </c>
    </row>
    <row r="4" spans="1:12" x14ac:dyDescent="0.25">
      <c r="A4">
        <v>894</v>
      </c>
      <c r="B4">
        <v>0</v>
      </c>
      <c r="C4">
        <v>2</v>
      </c>
      <c r="D4" t="s">
        <v>18</v>
      </c>
      <c r="E4" t="s">
        <v>13</v>
      </c>
      <c r="F4">
        <v>62</v>
      </c>
      <c r="G4">
        <v>0</v>
      </c>
      <c r="H4">
        <v>0</v>
      </c>
      <c r="I4">
        <v>240276</v>
      </c>
      <c r="J4">
        <v>9.6875</v>
      </c>
      <c r="L4" t="s">
        <v>14</v>
      </c>
    </row>
    <row r="5" spans="1:12" x14ac:dyDescent="0.25">
      <c r="A5">
        <v>895</v>
      </c>
      <c r="B5">
        <v>0</v>
      </c>
      <c r="C5">
        <v>3</v>
      </c>
      <c r="D5" t="s">
        <v>19</v>
      </c>
      <c r="E5" t="s">
        <v>13</v>
      </c>
      <c r="F5">
        <v>27</v>
      </c>
      <c r="G5">
        <v>0</v>
      </c>
      <c r="H5">
        <v>0</v>
      </c>
      <c r="I5">
        <v>315154</v>
      </c>
      <c r="J5">
        <v>8.6624999999999996</v>
      </c>
      <c r="L5" t="s">
        <v>17</v>
      </c>
    </row>
    <row r="6" spans="1:12" x14ac:dyDescent="0.25">
      <c r="A6">
        <v>896</v>
      </c>
      <c r="B6">
        <v>1</v>
      </c>
      <c r="C6">
        <v>3</v>
      </c>
      <c r="D6" t="s">
        <v>20</v>
      </c>
      <c r="E6" t="s">
        <v>16</v>
      </c>
      <c r="F6">
        <v>22</v>
      </c>
      <c r="G6">
        <v>1</v>
      </c>
      <c r="H6">
        <v>1</v>
      </c>
      <c r="I6">
        <v>3101298</v>
      </c>
      <c r="J6">
        <v>12.2875</v>
      </c>
      <c r="L6" t="s">
        <v>17</v>
      </c>
    </row>
    <row r="7" spans="1:12" x14ac:dyDescent="0.25">
      <c r="A7">
        <v>897</v>
      </c>
      <c r="B7">
        <v>0</v>
      </c>
      <c r="C7">
        <v>3</v>
      </c>
      <c r="D7" t="s">
        <v>21</v>
      </c>
      <c r="E7" t="s">
        <v>13</v>
      </c>
      <c r="F7">
        <v>14</v>
      </c>
      <c r="G7">
        <v>0</v>
      </c>
      <c r="H7">
        <v>0</v>
      </c>
      <c r="I7">
        <v>7538</v>
      </c>
      <c r="J7">
        <v>9.2249999999999996</v>
      </c>
      <c r="L7" t="s">
        <v>17</v>
      </c>
    </row>
    <row r="8" spans="1:12" x14ac:dyDescent="0.25">
      <c r="A8">
        <v>898</v>
      </c>
      <c r="B8">
        <v>1</v>
      </c>
      <c r="C8">
        <v>3</v>
      </c>
      <c r="D8" t="s">
        <v>22</v>
      </c>
      <c r="E8" t="s">
        <v>16</v>
      </c>
      <c r="F8">
        <v>30</v>
      </c>
      <c r="G8">
        <v>0</v>
      </c>
      <c r="H8">
        <v>0</v>
      </c>
      <c r="I8">
        <v>330972</v>
      </c>
      <c r="J8">
        <v>7.6292</v>
      </c>
      <c r="L8" t="s">
        <v>14</v>
      </c>
    </row>
    <row r="9" spans="1:12" x14ac:dyDescent="0.25">
      <c r="A9">
        <v>899</v>
      </c>
      <c r="B9">
        <v>0</v>
      </c>
      <c r="C9">
        <v>2</v>
      </c>
      <c r="D9" t="s">
        <v>23</v>
      </c>
      <c r="E9" t="s">
        <v>13</v>
      </c>
      <c r="F9">
        <v>26</v>
      </c>
      <c r="G9">
        <v>1</v>
      </c>
      <c r="H9">
        <v>1</v>
      </c>
      <c r="I9">
        <v>248738</v>
      </c>
      <c r="J9">
        <v>29</v>
      </c>
      <c r="L9" t="s">
        <v>17</v>
      </c>
    </row>
    <row r="10" spans="1:12" x14ac:dyDescent="0.25">
      <c r="A10">
        <v>900</v>
      </c>
      <c r="B10">
        <v>1</v>
      </c>
      <c r="C10">
        <v>3</v>
      </c>
      <c r="D10" t="s">
        <v>24</v>
      </c>
      <c r="E10" t="s">
        <v>16</v>
      </c>
      <c r="F10">
        <v>18</v>
      </c>
      <c r="G10">
        <v>0</v>
      </c>
      <c r="H10">
        <v>0</v>
      </c>
      <c r="I10">
        <v>2657</v>
      </c>
      <c r="J10">
        <v>7.2291999999999996</v>
      </c>
      <c r="L10" t="s">
        <v>25</v>
      </c>
    </row>
    <row r="11" spans="1:12" x14ac:dyDescent="0.25">
      <c r="A11">
        <v>901</v>
      </c>
      <c r="B11">
        <v>0</v>
      </c>
      <c r="C11">
        <v>3</v>
      </c>
      <c r="D11" t="s">
        <v>26</v>
      </c>
      <c r="E11" t="s">
        <v>13</v>
      </c>
      <c r="F11">
        <v>21</v>
      </c>
      <c r="G11">
        <v>2</v>
      </c>
      <c r="H11">
        <v>0</v>
      </c>
      <c r="I11" t="s">
        <v>27</v>
      </c>
      <c r="J11">
        <v>24.15</v>
      </c>
      <c r="L11" t="s">
        <v>17</v>
      </c>
    </row>
    <row r="12" spans="1:12" x14ac:dyDescent="0.25">
      <c r="A12">
        <v>902</v>
      </c>
      <c r="B12">
        <v>0</v>
      </c>
      <c r="C12">
        <v>3</v>
      </c>
      <c r="D12" t="s">
        <v>28</v>
      </c>
      <c r="E12" t="s">
        <v>13</v>
      </c>
      <c r="G12">
        <v>0</v>
      </c>
      <c r="H12">
        <v>0</v>
      </c>
      <c r="I12">
        <v>349220</v>
      </c>
      <c r="J12">
        <v>7.8958000000000004</v>
      </c>
      <c r="L12" t="s">
        <v>17</v>
      </c>
    </row>
    <row r="13" spans="1:12" x14ac:dyDescent="0.25">
      <c r="A13">
        <v>903</v>
      </c>
      <c r="B13">
        <v>0</v>
      </c>
      <c r="C13">
        <v>1</v>
      </c>
      <c r="D13" t="s">
        <v>29</v>
      </c>
      <c r="E13" t="s">
        <v>13</v>
      </c>
      <c r="F13">
        <v>46</v>
      </c>
      <c r="G13">
        <v>0</v>
      </c>
      <c r="H13">
        <v>0</v>
      </c>
      <c r="I13">
        <v>694</v>
      </c>
      <c r="J13">
        <v>26</v>
      </c>
      <c r="L13" t="s">
        <v>17</v>
      </c>
    </row>
    <row r="14" spans="1:12" x14ac:dyDescent="0.25">
      <c r="A14">
        <v>904</v>
      </c>
      <c r="B14">
        <v>1</v>
      </c>
      <c r="C14">
        <v>1</v>
      </c>
      <c r="D14" t="s">
        <v>30</v>
      </c>
      <c r="E14" t="s">
        <v>16</v>
      </c>
      <c r="F14">
        <v>23</v>
      </c>
      <c r="G14">
        <v>1</v>
      </c>
      <c r="H14">
        <v>0</v>
      </c>
      <c r="I14">
        <v>21228</v>
      </c>
      <c r="J14">
        <v>82.2667</v>
      </c>
      <c r="K14" t="s">
        <v>31</v>
      </c>
      <c r="L14" t="s">
        <v>17</v>
      </c>
    </row>
    <row r="15" spans="1:12" x14ac:dyDescent="0.25">
      <c r="A15">
        <v>905</v>
      </c>
      <c r="B15">
        <v>0</v>
      </c>
      <c r="C15">
        <v>2</v>
      </c>
      <c r="D15" t="s">
        <v>32</v>
      </c>
      <c r="E15" t="s">
        <v>13</v>
      </c>
      <c r="F15">
        <v>63</v>
      </c>
      <c r="G15">
        <v>1</v>
      </c>
      <c r="H15">
        <v>0</v>
      </c>
      <c r="I15">
        <v>24065</v>
      </c>
      <c r="J15">
        <v>26</v>
      </c>
      <c r="L15" t="s">
        <v>17</v>
      </c>
    </row>
    <row r="16" spans="1:12" x14ac:dyDescent="0.25">
      <c r="A16">
        <v>906</v>
      </c>
      <c r="B16">
        <v>1</v>
      </c>
      <c r="C16">
        <v>1</v>
      </c>
      <c r="D16" t="s">
        <v>33</v>
      </c>
      <c r="E16" t="s">
        <v>16</v>
      </c>
      <c r="F16">
        <v>47</v>
      </c>
      <c r="G16">
        <v>1</v>
      </c>
      <c r="H16">
        <v>0</v>
      </c>
      <c r="I16" t="s">
        <v>34</v>
      </c>
      <c r="J16">
        <v>61.174999999999997</v>
      </c>
      <c r="K16" t="s">
        <v>35</v>
      </c>
      <c r="L16" t="s">
        <v>17</v>
      </c>
    </row>
    <row r="17" spans="1:12" x14ac:dyDescent="0.25">
      <c r="A17">
        <v>907</v>
      </c>
      <c r="B17">
        <v>1</v>
      </c>
      <c r="C17">
        <v>2</v>
      </c>
      <c r="D17" t="s">
        <v>36</v>
      </c>
      <c r="E17" t="s">
        <v>16</v>
      </c>
      <c r="F17">
        <v>24</v>
      </c>
      <c r="G17">
        <v>1</v>
      </c>
      <c r="H17">
        <v>0</v>
      </c>
      <c r="I17" t="s">
        <v>37</v>
      </c>
      <c r="J17">
        <v>27.720800000000001</v>
      </c>
      <c r="L17" t="s">
        <v>25</v>
      </c>
    </row>
    <row r="18" spans="1:12" x14ac:dyDescent="0.25">
      <c r="A18">
        <v>908</v>
      </c>
      <c r="B18">
        <v>0</v>
      </c>
      <c r="C18">
        <v>2</v>
      </c>
      <c r="D18" t="s">
        <v>38</v>
      </c>
      <c r="E18" t="s">
        <v>13</v>
      </c>
      <c r="F18">
        <v>35</v>
      </c>
      <c r="G18">
        <v>0</v>
      </c>
      <c r="H18">
        <v>0</v>
      </c>
      <c r="I18">
        <v>233734</v>
      </c>
      <c r="J18">
        <v>12.35</v>
      </c>
      <c r="L18" t="s">
        <v>14</v>
      </c>
    </row>
    <row r="19" spans="1:12" x14ac:dyDescent="0.25">
      <c r="A19">
        <v>909</v>
      </c>
      <c r="B19">
        <v>0</v>
      </c>
      <c r="C19">
        <v>3</v>
      </c>
      <c r="D19" t="s">
        <v>39</v>
      </c>
      <c r="E19" t="s">
        <v>13</v>
      </c>
      <c r="F19">
        <v>21</v>
      </c>
      <c r="G19">
        <v>0</v>
      </c>
      <c r="H19">
        <v>0</v>
      </c>
      <c r="I19">
        <v>2692</v>
      </c>
      <c r="J19">
        <v>7.2249999999999996</v>
      </c>
      <c r="L19" t="s">
        <v>25</v>
      </c>
    </row>
    <row r="20" spans="1:12" x14ac:dyDescent="0.25">
      <c r="A20">
        <v>910</v>
      </c>
      <c r="B20">
        <v>1</v>
      </c>
      <c r="C20">
        <v>3</v>
      </c>
      <c r="D20" t="s">
        <v>40</v>
      </c>
      <c r="E20" t="s">
        <v>16</v>
      </c>
      <c r="F20">
        <v>27</v>
      </c>
      <c r="G20">
        <v>1</v>
      </c>
      <c r="H20">
        <v>0</v>
      </c>
      <c r="I20" t="s">
        <v>41</v>
      </c>
      <c r="J20">
        <v>7.9249999999999998</v>
      </c>
      <c r="L20" t="s">
        <v>17</v>
      </c>
    </row>
    <row r="21" spans="1:12" x14ac:dyDescent="0.25">
      <c r="A21">
        <v>911</v>
      </c>
      <c r="B21">
        <v>1</v>
      </c>
      <c r="C21">
        <v>3</v>
      </c>
      <c r="D21" t="s">
        <v>42</v>
      </c>
      <c r="E21" t="s">
        <v>16</v>
      </c>
      <c r="F21">
        <v>45</v>
      </c>
      <c r="G21">
        <v>0</v>
      </c>
      <c r="H21">
        <v>0</v>
      </c>
      <c r="I21">
        <v>2696</v>
      </c>
      <c r="J21">
        <v>7.2249999999999996</v>
      </c>
      <c r="L21" t="s">
        <v>25</v>
      </c>
    </row>
    <row r="22" spans="1:12" x14ac:dyDescent="0.25">
      <c r="A22">
        <v>912</v>
      </c>
      <c r="B22">
        <v>0</v>
      </c>
      <c r="C22">
        <v>1</v>
      </c>
      <c r="D22" t="s">
        <v>43</v>
      </c>
      <c r="E22" t="s">
        <v>13</v>
      </c>
      <c r="F22">
        <v>55</v>
      </c>
      <c r="G22">
        <v>1</v>
      </c>
      <c r="H22">
        <v>0</v>
      </c>
      <c r="I22" t="s">
        <v>44</v>
      </c>
      <c r="J22">
        <v>59.4</v>
      </c>
      <c r="L22" t="s">
        <v>25</v>
      </c>
    </row>
    <row r="23" spans="1:12" x14ac:dyDescent="0.25">
      <c r="A23">
        <v>913</v>
      </c>
      <c r="B23">
        <v>0</v>
      </c>
      <c r="C23">
        <v>3</v>
      </c>
      <c r="D23" t="s">
        <v>45</v>
      </c>
      <c r="E23" t="s">
        <v>13</v>
      </c>
      <c r="F23">
        <v>9</v>
      </c>
      <c r="G23">
        <v>0</v>
      </c>
      <c r="H23">
        <v>1</v>
      </c>
      <c r="I23" t="s">
        <v>46</v>
      </c>
      <c r="J23">
        <v>3.1707999999999998</v>
      </c>
      <c r="L23" t="s">
        <v>17</v>
      </c>
    </row>
    <row r="24" spans="1:12" x14ac:dyDescent="0.25">
      <c r="A24">
        <v>914</v>
      </c>
      <c r="B24">
        <v>1</v>
      </c>
      <c r="C24">
        <v>1</v>
      </c>
      <c r="D24" t="s">
        <v>47</v>
      </c>
      <c r="E24" t="s">
        <v>16</v>
      </c>
      <c r="G24">
        <v>0</v>
      </c>
      <c r="H24">
        <v>0</v>
      </c>
      <c r="I24" t="s">
        <v>48</v>
      </c>
      <c r="J24">
        <v>31.683299999999999</v>
      </c>
      <c r="L24" t="s">
        <v>17</v>
      </c>
    </row>
    <row r="25" spans="1:12" x14ac:dyDescent="0.25">
      <c r="A25">
        <v>915</v>
      </c>
      <c r="B25">
        <v>0</v>
      </c>
      <c r="C25">
        <v>1</v>
      </c>
      <c r="D25" t="s">
        <v>49</v>
      </c>
      <c r="E25" t="s">
        <v>13</v>
      </c>
      <c r="F25">
        <v>21</v>
      </c>
      <c r="G25">
        <v>0</v>
      </c>
      <c r="H25">
        <v>1</v>
      </c>
      <c r="I25" t="s">
        <v>50</v>
      </c>
      <c r="J25">
        <v>61.379199999999997</v>
      </c>
      <c r="L25" t="s">
        <v>25</v>
      </c>
    </row>
    <row r="26" spans="1:12" x14ac:dyDescent="0.25">
      <c r="A26">
        <v>916</v>
      </c>
      <c r="B26">
        <v>1</v>
      </c>
      <c r="C26">
        <v>1</v>
      </c>
      <c r="D26" t="s">
        <v>51</v>
      </c>
      <c r="E26" t="s">
        <v>16</v>
      </c>
      <c r="F26">
        <v>48</v>
      </c>
      <c r="G26">
        <v>1</v>
      </c>
      <c r="H26">
        <v>3</v>
      </c>
      <c r="I26" t="s">
        <v>52</v>
      </c>
      <c r="J26">
        <v>262.375</v>
      </c>
      <c r="K26" t="s">
        <v>53</v>
      </c>
      <c r="L26" t="s">
        <v>25</v>
      </c>
    </row>
    <row r="27" spans="1:12" x14ac:dyDescent="0.25">
      <c r="A27">
        <v>917</v>
      </c>
      <c r="B27">
        <v>0</v>
      </c>
      <c r="C27">
        <v>3</v>
      </c>
      <c r="D27" t="s">
        <v>54</v>
      </c>
      <c r="E27" t="s">
        <v>13</v>
      </c>
      <c r="F27">
        <v>50</v>
      </c>
      <c r="G27">
        <v>1</v>
      </c>
      <c r="H27">
        <v>0</v>
      </c>
      <c r="I27" t="s">
        <v>55</v>
      </c>
      <c r="J27">
        <v>14.5</v>
      </c>
      <c r="L27" t="s">
        <v>17</v>
      </c>
    </row>
    <row r="28" spans="1:12" x14ac:dyDescent="0.25">
      <c r="A28">
        <v>918</v>
      </c>
      <c r="B28">
        <v>1</v>
      </c>
      <c r="C28">
        <v>1</v>
      </c>
      <c r="D28" t="s">
        <v>56</v>
      </c>
      <c r="E28" t="s">
        <v>16</v>
      </c>
      <c r="F28">
        <v>22</v>
      </c>
      <c r="G28">
        <v>0</v>
      </c>
      <c r="H28">
        <v>1</v>
      </c>
      <c r="I28">
        <v>113509</v>
      </c>
      <c r="J28">
        <v>61.979199999999999</v>
      </c>
      <c r="K28" t="s">
        <v>57</v>
      </c>
      <c r="L28" t="s">
        <v>25</v>
      </c>
    </row>
    <row r="29" spans="1:12" x14ac:dyDescent="0.25">
      <c r="A29">
        <v>919</v>
      </c>
      <c r="B29">
        <v>0</v>
      </c>
      <c r="C29">
        <v>3</v>
      </c>
      <c r="D29" t="s">
        <v>58</v>
      </c>
      <c r="E29" t="s">
        <v>13</v>
      </c>
      <c r="F29">
        <v>22.5</v>
      </c>
      <c r="G29">
        <v>0</v>
      </c>
      <c r="H29">
        <v>0</v>
      </c>
      <c r="I29">
        <v>2698</v>
      </c>
      <c r="J29">
        <v>7.2249999999999996</v>
      </c>
      <c r="L29" t="s">
        <v>25</v>
      </c>
    </row>
    <row r="30" spans="1:12" x14ac:dyDescent="0.25">
      <c r="A30">
        <v>920</v>
      </c>
      <c r="B30">
        <v>0</v>
      </c>
      <c r="C30">
        <v>1</v>
      </c>
      <c r="D30" t="s">
        <v>59</v>
      </c>
      <c r="E30" t="s">
        <v>13</v>
      </c>
      <c r="F30">
        <v>41</v>
      </c>
      <c r="G30">
        <v>0</v>
      </c>
      <c r="H30">
        <v>0</v>
      </c>
      <c r="I30">
        <v>113054</v>
      </c>
      <c r="J30">
        <v>30.5</v>
      </c>
      <c r="K30" t="s">
        <v>60</v>
      </c>
      <c r="L30" t="s">
        <v>17</v>
      </c>
    </row>
    <row r="31" spans="1:12" x14ac:dyDescent="0.25">
      <c r="A31">
        <v>921</v>
      </c>
      <c r="B31">
        <v>0</v>
      </c>
      <c r="C31">
        <v>3</v>
      </c>
      <c r="D31" t="s">
        <v>61</v>
      </c>
      <c r="E31" t="s">
        <v>13</v>
      </c>
      <c r="G31">
        <v>2</v>
      </c>
      <c r="H31">
        <v>0</v>
      </c>
      <c r="I31">
        <v>2662</v>
      </c>
      <c r="J31">
        <v>21.679200000000002</v>
      </c>
      <c r="L31" t="s">
        <v>25</v>
      </c>
    </row>
    <row r="32" spans="1:12" x14ac:dyDescent="0.25">
      <c r="A32">
        <v>922</v>
      </c>
      <c r="B32">
        <v>0</v>
      </c>
      <c r="C32">
        <v>2</v>
      </c>
      <c r="D32" t="s">
        <v>62</v>
      </c>
      <c r="E32" t="s">
        <v>13</v>
      </c>
      <c r="F32">
        <v>50</v>
      </c>
      <c r="G32">
        <v>1</v>
      </c>
      <c r="H32">
        <v>0</v>
      </c>
      <c r="I32" t="s">
        <v>63</v>
      </c>
      <c r="J32">
        <v>26</v>
      </c>
      <c r="L32" t="s">
        <v>17</v>
      </c>
    </row>
    <row r="33" spans="1:12" x14ac:dyDescent="0.25">
      <c r="A33">
        <v>923</v>
      </c>
      <c r="B33">
        <v>0</v>
      </c>
      <c r="C33">
        <v>2</v>
      </c>
      <c r="D33" t="s">
        <v>64</v>
      </c>
      <c r="E33" t="s">
        <v>13</v>
      </c>
      <c r="F33">
        <v>24</v>
      </c>
      <c r="G33">
        <v>2</v>
      </c>
      <c r="H33">
        <v>0</v>
      </c>
      <c r="I33" t="s">
        <v>65</v>
      </c>
      <c r="J33">
        <v>31.5</v>
      </c>
      <c r="L33" t="s">
        <v>17</v>
      </c>
    </row>
    <row r="34" spans="1:12" x14ac:dyDescent="0.25">
      <c r="A34">
        <v>924</v>
      </c>
      <c r="B34">
        <v>1</v>
      </c>
      <c r="C34">
        <v>3</v>
      </c>
      <c r="D34" t="s">
        <v>66</v>
      </c>
      <c r="E34" t="s">
        <v>16</v>
      </c>
      <c r="F34">
        <v>33</v>
      </c>
      <c r="G34">
        <v>1</v>
      </c>
      <c r="H34">
        <v>2</v>
      </c>
      <c r="I34" t="s">
        <v>67</v>
      </c>
      <c r="J34">
        <v>20.574999999999999</v>
      </c>
      <c r="L34" t="s">
        <v>17</v>
      </c>
    </row>
    <row r="35" spans="1:12" x14ac:dyDescent="0.25">
      <c r="A35">
        <v>925</v>
      </c>
      <c r="B35">
        <v>1</v>
      </c>
      <c r="C35">
        <v>3</v>
      </c>
      <c r="D35" t="s">
        <v>68</v>
      </c>
      <c r="E35" t="s">
        <v>16</v>
      </c>
      <c r="G35">
        <v>1</v>
      </c>
      <c r="H35">
        <v>2</v>
      </c>
      <c r="I35" t="s">
        <v>69</v>
      </c>
      <c r="J35">
        <v>23.45</v>
      </c>
      <c r="L35" t="s">
        <v>17</v>
      </c>
    </row>
    <row r="36" spans="1:12" x14ac:dyDescent="0.25">
      <c r="A36">
        <v>926</v>
      </c>
      <c r="B36">
        <v>0</v>
      </c>
      <c r="C36">
        <v>1</v>
      </c>
      <c r="D36" t="s">
        <v>70</v>
      </c>
      <c r="E36" t="s">
        <v>13</v>
      </c>
      <c r="F36">
        <v>30</v>
      </c>
      <c r="G36">
        <v>1</v>
      </c>
      <c r="H36">
        <v>0</v>
      </c>
      <c r="I36">
        <v>13236</v>
      </c>
      <c r="J36">
        <v>57.75</v>
      </c>
      <c r="K36" t="s">
        <v>71</v>
      </c>
      <c r="L36" t="s">
        <v>25</v>
      </c>
    </row>
    <row r="37" spans="1:12" x14ac:dyDescent="0.25">
      <c r="A37">
        <v>927</v>
      </c>
      <c r="B37">
        <v>0</v>
      </c>
      <c r="C37">
        <v>3</v>
      </c>
      <c r="D37" t="s">
        <v>72</v>
      </c>
      <c r="E37" t="s">
        <v>13</v>
      </c>
      <c r="F37">
        <v>18.5</v>
      </c>
      <c r="G37">
        <v>0</v>
      </c>
      <c r="H37">
        <v>0</v>
      </c>
      <c r="I37">
        <v>2682</v>
      </c>
      <c r="J37">
        <v>7.2291999999999996</v>
      </c>
      <c r="L37" t="s">
        <v>25</v>
      </c>
    </row>
    <row r="38" spans="1:12" x14ac:dyDescent="0.25">
      <c r="A38">
        <v>928</v>
      </c>
      <c r="B38">
        <v>1</v>
      </c>
      <c r="C38">
        <v>3</v>
      </c>
      <c r="D38" t="s">
        <v>73</v>
      </c>
      <c r="E38" t="s">
        <v>16</v>
      </c>
      <c r="G38">
        <v>0</v>
      </c>
      <c r="H38">
        <v>0</v>
      </c>
      <c r="I38">
        <v>342712</v>
      </c>
      <c r="J38">
        <v>8.0500000000000007</v>
      </c>
      <c r="L38" t="s">
        <v>17</v>
      </c>
    </row>
    <row r="39" spans="1:12" x14ac:dyDescent="0.25">
      <c r="A39">
        <v>929</v>
      </c>
      <c r="B39">
        <v>1</v>
      </c>
      <c r="C39">
        <v>3</v>
      </c>
      <c r="D39" t="s">
        <v>74</v>
      </c>
      <c r="E39" t="s">
        <v>16</v>
      </c>
      <c r="F39">
        <v>21</v>
      </c>
      <c r="G39">
        <v>0</v>
      </c>
      <c r="H39">
        <v>0</v>
      </c>
      <c r="I39">
        <v>315087</v>
      </c>
      <c r="J39">
        <v>8.6624999999999996</v>
      </c>
      <c r="L39" t="s">
        <v>17</v>
      </c>
    </row>
    <row r="40" spans="1:12" x14ac:dyDescent="0.25">
      <c r="A40">
        <v>930</v>
      </c>
      <c r="B40">
        <v>0</v>
      </c>
      <c r="C40">
        <v>3</v>
      </c>
      <c r="D40" t="s">
        <v>75</v>
      </c>
      <c r="E40" t="s">
        <v>13</v>
      </c>
      <c r="F40">
        <v>25</v>
      </c>
      <c r="G40">
        <v>0</v>
      </c>
      <c r="H40">
        <v>0</v>
      </c>
      <c r="I40">
        <v>345768</v>
      </c>
      <c r="J40">
        <v>9.5</v>
      </c>
      <c r="L40" t="s">
        <v>17</v>
      </c>
    </row>
    <row r="41" spans="1:12" x14ac:dyDescent="0.25">
      <c r="A41">
        <v>931</v>
      </c>
      <c r="B41">
        <v>0</v>
      </c>
      <c r="C41">
        <v>3</v>
      </c>
      <c r="D41" t="s">
        <v>76</v>
      </c>
      <c r="E41" t="s">
        <v>13</v>
      </c>
      <c r="G41">
        <v>0</v>
      </c>
      <c r="H41">
        <v>0</v>
      </c>
      <c r="I41">
        <v>1601</v>
      </c>
      <c r="J41">
        <v>56.495800000000003</v>
      </c>
      <c r="L41" t="s">
        <v>17</v>
      </c>
    </row>
    <row r="42" spans="1:12" x14ac:dyDescent="0.25">
      <c r="A42">
        <v>932</v>
      </c>
      <c r="B42">
        <v>0</v>
      </c>
      <c r="C42">
        <v>3</v>
      </c>
      <c r="D42" t="s">
        <v>77</v>
      </c>
      <c r="E42" t="s">
        <v>13</v>
      </c>
      <c r="F42">
        <v>39</v>
      </c>
      <c r="G42">
        <v>0</v>
      </c>
      <c r="H42">
        <v>1</v>
      </c>
      <c r="I42">
        <v>349256</v>
      </c>
      <c r="J42">
        <v>13.416700000000001</v>
      </c>
      <c r="L42" t="s">
        <v>25</v>
      </c>
    </row>
    <row r="43" spans="1:12" x14ac:dyDescent="0.25">
      <c r="A43">
        <v>933</v>
      </c>
      <c r="B43">
        <v>0</v>
      </c>
      <c r="C43">
        <v>1</v>
      </c>
      <c r="D43" t="s">
        <v>78</v>
      </c>
      <c r="E43" t="s">
        <v>13</v>
      </c>
      <c r="G43">
        <v>0</v>
      </c>
      <c r="H43">
        <v>0</v>
      </c>
      <c r="I43">
        <v>113778</v>
      </c>
      <c r="J43">
        <v>26.55</v>
      </c>
      <c r="K43" t="s">
        <v>79</v>
      </c>
      <c r="L43" t="s">
        <v>17</v>
      </c>
    </row>
    <row r="44" spans="1:12" x14ac:dyDescent="0.25">
      <c r="A44">
        <v>934</v>
      </c>
      <c r="B44">
        <v>0</v>
      </c>
      <c r="C44">
        <v>3</v>
      </c>
      <c r="D44" t="s">
        <v>80</v>
      </c>
      <c r="E44" t="s">
        <v>13</v>
      </c>
      <c r="F44">
        <v>41</v>
      </c>
      <c r="G44">
        <v>0</v>
      </c>
      <c r="H44">
        <v>0</v>
      </c>
      <c r="I44" t="s">
        <v>81</v>
      </c>
      <c r="J44">
        <v>7.85</v>
      </c>
      <c r="L44" t="s">
        <v>17</v>
      </c>
    </row>
    <row r="45" spans="1:12" x14ac:dyDescent="0.25">
      <c r="A45">
        <v>935</v>
      </c>
      <c r="B45">
        <v>1</v>
      </c>
      <c r="C45">
        <v>2</v>
      </c>
      <c r="D45" t="s">
        <v>82</v>
      </c>
      <c r="E45" t="s">
        <v>16</v>
      </c>
      <c r="F45">
        <v>30</v>
      </c>
      <c r="G45">
        <v>0</v>
      </c>
      <c r="H45">
        <v>0</v>
      </c>
      <c r="I45">
        <v>237249</v>
      </c>
      <c r="J45">
        <v>13</v>
      </c>
      <c r="L45" t="s">
        <v>17</v>
      </c>
    </row>
    <row r="46" spans="1:12" x14ac:dyDescent="0.25">
      <c r="A46">
        <v>936</v>
      </c>
      <c r="B46">
        <v>1</v>
      </c>
      <c r="C46">
        <v>1</v>
      </c>
      <c r="D46" t="s">
        <v>83</v>
      </c>
      <c r="E46" t="s">
        <v>16</v>
      </c>
      <c r="F46">
        <v>45</v>
      </c>
      <c r="G46">
        <v>1</v>
      </c>
      <c r="H46">
        <v>0</v>
      </c>
      <c r="I46">
        <v>11753</v>
      </c>
      <c r="J46">
        <v>52.554200000000002</v>
      </c>
      <c r="K46" t="s">
        <v>84</v>
      </c>
      <c r="L46" t="s">
        <v>17</v>
      </c>
    </row>
    <row r="47" spans="1:12" x14ac:dyDescent="0.25">
      <c r="A47">
        <v>937</v>
      </c>
      <c r="B47">
        <v>0</v>
      </c>
      <c r="C47">
        <v>3</v>
      </c>
      <c r="D47" t="s">
        <v>85</v>
      </c>
      <c r="E47" t="s">
        <v>13</v>
      </c>
      <c r="F47">
        <v>25</v>
      </c>
      <c r="G47">
        <v>0</v>
      </c>
      <c r="H47">
        <v>0</v>
      </c>
      <c r="I47" t="s">
        <v>86</v>
      </c>
      <c r="J47">
        <v>7.9249999999999998</v>
      </c>
      <c r="L47" t="s">
        <v>17</v>
      </c>
    </row>
    <row r="48" spans="1:12" x14ac:dyDescent="0.25">
      <c r="A48">
        <v>938</v>
      </c>
      <c r="B48">
        <v>0</v>
      </c>
      <c r="C48">
        <v>1</v>
      </c>
      <c r="D48" t="s">
        <v>87</v>
      </c>
      <c r="E48" t="s">
        <v>13</v>
      </c>
      <c r="F48">
        <v>45</v>
      </c>
      <c r="G48">
        <v>0</v>
      </c>
      <c r="H48">
        <v>0</v>
      </c>
      <c r="I48" t="s">
        <v>88</v>
      </c>
      <c r="J48">
        <v>29.7</v>
      </c>
      <c r="K48" t="s">
        <v>89</v>
      </c>
      <c r="L48" t="s">
        <v>25</v>
      </c>
    </row>
    <row r="49" spans="1:12" x14ac:dyDescent="0.25">
      <c r="A49">
        <v>939</v>
      </c>
      <c r="B49">
        <v>0</v>
      </c>
      <c r="C49">
        <v>3</v>
      </c>
      <c r="D49" t="s">
        <v>90</v>
      </c>
      <c r="E49" t="s">
        <v>13</v>
      </c>
      <c r="G49">
        <v>0</v>
      </c>
      <c r="H49">
        <v>0</v>
      </c>
      <c r="I49">
        <v>370374</v>
      </c>
      <c r="J49">
        <v>7.75</v>
      </c>
      <c r="L49" t="s">
        <v>14</v>
      </c>
    </row>
    <row r="50" spans="1:12" x14ac:dyDescent="0.25">
      <c r="A50">
        <v>940</v>
      </c>
      <c r="B50">
        <v>1</v>
      </c>
      <c r="C50">
        <v>1</v>
      </c>
      <c r="D50" t="s">
        <v>91</v>
      </c>
      <c r="E50" t="s">
        <v>16</v>
      </c>
      <c r="F50">
        <v>60</v>
      </c>
      <c r="G50">
        <v>0</v>
      </c>
      <c r="H50">
        <v>0</v>
      </c>
      <c r="I50">
        <v>11813</v>
      </c>
      <c r="J50">
        <v>76.291700000000006</v>
      </c>
      <c r="K50" t="s">
        <v>92</v>
      </c>
      <c r="L50" t="s">
        <v>25</v>
      </c>
    </row>
    <row r="51" spans="1:12" x14ac:dyDescent="0.25">
      <c r="A51">
        <v>941</v>
      </c>
      <c r="B51">
        <v>1</v>
      </c>
      <c r="C51">
        <v>3</v>
      </c>
      <c r="D51" t="s">
        <v>93</v>
      </c>
      <c r="E51" t="s">
        <v>16</v>
      </c>
      <c r="F51">
        <v>36</v>
      </c>
      <c r="G51">
        <v>0</v>
      </c>
      <c r="H51">
        <v>2</v>
      </c>
      <c r="I51" t="s">
        <v>94</v>
      </c>
      <c r="J51">
        <v>15.9</v>
      </c>
      <c r="L51" t="s">
        <v>17</v>
      </c>
    </row>
    <row r="52" spans="1:12" x14ac:dyDescent="0.25">
      <c r="A52">
        <v>942</v>
      </c>
      <c r="B52">
        <v>0</v>
      </c>
      <c r="C52">
        <v>1</v>
      </c>
      <c r="D52" t="s">
        <v>95</v>
      </c>
      <c r="E52" t="s">
        <v>13</v>
      </c>
      <c r="F52">
        <v>24</v>
      </c>
      <c r="G52">
        <v>1</v>
      </c>
      <c r="H52">
        <v>0</v>
      </c>
      <c r="I52">
        <v>13695</v>
      </c>
      <c r="J52">
        <v>60</v>
      </c>
      <c r="K52" t="s">
        <v>96</v>
      </c>
      <c r="L52" t="s">
        <v>17</v>
      </c>
    </row>
    <row r="53" spans="1:12" x14ac:dyDescent="0.25">
      <c r="A53">
        <v>943</v>
      </c>
      <c r="B53">
        <v>0</v>
      </c>
      <c r="C53">
        <v>2</v>
      </c>
      <c r="D53" t="s">
        <v>97</v>
      </c>
      <c r="E53" t="s">
        <v>13</v>
      </c>
      <c r="F53">
        <v>27</v>
      </c>
      <c r="G53">
        <v>0</v>
      </c>
      <c r="H53">
        <v>0</v>
      </c>
      <c r="I53" t="s">
        <v>98</v>
      </c>
      <c r="J53">
        <v>15.033300000000001</v>
      </c>
      <c r="L53" t="s">
        <v>25</v>
      </c>
    </row>
    <row r="54" spans="1:12" x14ac:dyDescent="0.25">
      <c r="A54">
        <v>944</v>
      </c>
      <c r="B54">
        <v>1</v>
      </c>
      <c r="C54">
        <v>2</v>
      </c>
      <c r="D54" t="s">
        <v>99</v>
      </c>
      <c r="E54" t="s">
        <v>16</v>
      </c>
      <c r="F54">
        <v>20</v>
      </c>
      <c r="G54">
        <v>2</v>
      </c>
      <c r="H54">
        <v>1</v>
      </c>
      <c r="I54">
        <v>29105</v>
      </c>
      <c r="J54">
        <v>23</v>
      </c>
      <c r="L54" t="s">
        <v>17</v>
      </c>
    </row>
    <row r="55" spans="1:12" x14ac:dyDescent="0.25">
      <c r="A55">
        <v>945</v>
      </c>
      <c r="B55">
        <v>1</v>
      </c>
      <c r="C55">
        <v>1</v>
      </c>
      <c r="D55" t="s">
        <v>100</v>
      </c>
      <c r="E55" t="s">
        <v>16</v>
      </c>
      <c r="F55">
        <v>28</v>
      </c>
      <c r="G55">
        <v>3</v>
      </c>
      <c r="H55">
        <v>2</v>
      </c>
      <c r="I55">
        <v>19950</v>
      </c>
      <c r="J55">
        <v>263</v>
      </c>
      <c r="K55" t="s">
        <v>101</v>
      </c>
      <c r="L55" t="s">
        <v>17</v>
      </c>
    </row>
    <row r="56" spans="1:12" x14ac:dyDescent="0.25">
      <c r="A56">
        <v>946</v>
      </c>
      <c r="B56">
        <v>0</v>
      </c>
      <c r="C56">
        <v>2</v>
      </c>
      <c r="D56" t="s">
        <v>102</v>
      </c>
      <c r="E56" t="s">
        <v>13</v>
      </c>
      <c r="G56">
        <v>0</v>
      </c>
      <c r="H56">
        <v>0</v>
      </c>
      <c r="I56" t="s">
        <v>103</v>
      </c>
      <c r="J56">
        <v>15.5792</v>
      </c>
      <c r="L56" t="s">
        <v>25</v>
      </c>
    </row>
    <row r="57" spans="1:12" x14ac:dyDescent="0.25">
      <c r="A57">
        <v>947</v>
      </c>
      <c r="B57">
        <v>0</v>
      </c>
      <c r="C57">
        <v>3</v>
      </c>
      <c r="D57" t="s">
        <v>104</v>
      </c>
      <c r="E57" t="s">
        <v>13</v>
      </c>
      <c r="F57">
        <v>10</v>
      </c>
      <c r="G57">
        <v>4</v>
      </c>
      <c r="H57">
        <v>1</v>
      </c>
      <c r="I57">
        <v>382652</v>
      </c>
      <c r="J57">
        <v>29.125</v>
      </c>
      <c r="L57" t="s">
        <v>14</v>
      </c>
    </row>
    <row r="58" spans="1:12" x14ac:dyDescent="0.25">
      <c r="A58">
        <v>948</v>
      </c>
      <c r="B58">
        <v>0</v>
      </c>
      <c r="C58">
        <v>3</v>
      </c>
      <c r="D58" t="s">
        <v>105</v>
      </c>
      <c r="E58" t="s">
        <v>13</v>
      </c>
      <c r="F58">
        <v>35</v>
      </c>
      <c r="G58">
        <v>0</v>
      </c>
      <c r="H58">
        <v>0</v>
      </c>
      <c r="I58">
        <v>349230</v>
      </c>
      <c r="J58">
        <v>7.8958000000000004</v>
      </c>
      <c r="L58" t="s">
        <v>17</v>
      </c>
    </row>
    <row r="59" spans="1:12" x14ac:dyDescent="0.25">
      <c r="A59">
        <v>949</v>
      </c>
      <c r="B59">
        <v>0</v>
      </c>
      <c r="C59">
        <v>3</v>
      </c>
      <c r="D59" t="s">
        <v>106</v>
      </c>
      <c r="E59" t="s">
        <v>13</v>
      </c>
      <c r="F59">
        <v>25</v>
      </c>
      <c r="G59">
        <v>0</v>
      </c>
      <c r="H59">
        <v>0</v>
      </c>
      <c r="I59">
        <v>348122</v>
      </c>
      <c r="J59">
        <v>7.65</v>
      </c>
      <c r="K59" t="s">
        <v>107</v>
      </c>
      <c r="L59" t="s">
        <v>17</v>
      </c>
    </row>
    <row r="60" spans="1:12" x14ac:dyDescent="0.25">
      <c r="A60">
        <v>950</v>
      </c>
      <c r="B60">
        <v>0</v>
      </c>
      <c r="C60">
        <v>3</v>
      </c>
      <c r="D60" t="s">
        <v>108</v>
      </c>
      <c r="E60" t="s">
        <v>13</v>
      </c>
      <c r="G60">
        <v>1</v>
      </c>
      <c r="H60">
        <v>0</v>
      </c>
      <c r="I60">
        <v>386525</v>
      </c>
      <c r="J60">
        <v>16.100000000000001</v>
      </c>
      <c r="L60" t="s">
        <v>17</v>
      </c>
    </row>
    <row r="61" spans="1:12" x14ac:dyDescent="0.25">
      <c r="A61">
        <v>951</v>
      </c>
      <c r="B61">
        <v>1</v>
      </c>
      <c r="C61">
        <v>1</v>
      </c>
      <c r="D61" t="s">
        <v>109</v>
      </c>
      <c r="E61" t="s">
        <v>16</v>
      </c>
      <c r="F61">
        <v>36</v>
      </c>
      <c r="G61">
        <v>0</v>
      </c>
      <c r="H61">
        <v>0</v>
      </c>
      <c r="I61" t="s">
        <v>52</v>
      </c>
      <c r="J61">
        <v>262.375</v>
      </c>
      <c r="K61" t="s">
        <v>110</v>
      </c>
      <c r="L61" t="s">
        <v>25</v>
      </c>
    </row>
    <row r="62" spans="1:12" x14ac:dyDescent="0.25">
      <c r="A62">
        <v>952</v>
      </c>
      <c r="B62">
        <v>0</v>
      </c>
      <c r="C62">
        <v>3</v>
      </c>
      <c r="D62" t="s">
        <v>111</v>
      </c>
      <c r="E62" t="s">
        <v>13</v>
      </c>
      <c r="F62">
        <v>17</v>
      </c>
      <c r="G62">
        <v>0</v>
      </c>
      <c r="H62">
        <v>0</v>
      </c>
      <c r="I62">
        <v>349232</v>
      </c>
      <c r="J62">
        <v>7.8958000000000004</v>
      </c>
      <c r="L62" t="s">
        <v>17</v>
      </c>
    </row>
    <row r="63" spans="1:12" x14ac:dyDescent="0.25">
      <c r="A63">
        <v>953</v>
      </c>
      <c r="B63">
        <v>0</v>
      </c>
      <c r="C63">
        <v>2</v>
      </c>
      <c r="D63" t="s">
        <v>112</v>
      </c>
      <c r="E63" t="s">
        <v>13</v>
      </c>
      <c r="F63">
        <v>32</v>
      </c>
      <c r="G63">
        <v>0</v>
      </c>
      <c r="H63">
        <v>0</v>
      </c>
      <c r="I63">
        <v>237216</v>
      </c>
      <c r="J63">
        <v>13.5</v>
      </c>
      <c r="L63" t="s">
        <v>17</v>
      </c>
    </row>
    <row r="64" spans="1:12" x14ac:dyDescent="0.25">
      <c r="A64">
        <v>954</v>
      </c>
      <c r="B64">
        <v>0</v>
      </c>
      <c r="C64">
        <v>3</v>
      </c>
      <c r="D64" t="s">
        <v>113</v>
      </c>
      <c r="E64" t="s">
        <v>13</v>
      </c>
      <c r="F64">
        <v>18</v>
      </c>
      <c r="G64">
        <v>0</v>
      </c>
      <c r="H64">
        <v>0</v>
      </c>
      <c r="I64">
        <v>347090</v>
      </c>
      <c r="J64">
        <v>7.75</v>
      </c>
      <c r="L64" t="s">
        <v>17</v>
      </c>
    </row>
    <row r="65" spans="1:12" x14ac:dyDescent="0.25">
      <c r="A65">
        <v>955</v>
      </c>
      <c r="B65">
        <v>1</v>
      </c>
      <c r="C65">
        <v>3</v>
      </c>
      <c r="D65" t="s">
        <v>114</v>
      </c>
      <c r="E65" t="s">
        <v>16</v>
      </c>
      <c r="F65">
        <v>22</v>
      </c>
      <c r="G65">
        <v>0</v>
      </c>
      <c r="H65">
        <v>0</v>
      </c>
      <c r="I65">
        <v>334914</v>
      </c>
      <c r="J65">
        <v>7.7249999999999996</v>
      </c>
      <c r="L65" t="s">
        <v>14</v>
      </c>
    </row>
    <row r="66" spans="1:12" x14ac:dyDescent="0.25">
      <c r="A66">
        <v>956</v>
      </c>
      <c r="B66">
        <v>0</v>
      </c>
      <c r="C66">
        <v>1</v>
      </c>
      <c r="D66" t="s">
        <v>115</v>
      </c>
      <c r="E66" t="s">
        <v>13</v>
      </c>
      <c r="F66">
        <v>13</v>
      </c>
      <c r="G66">
        <v>2</v>
      </c>
      <c r="H66">
        <v>2</v>
      </c>
      <c r="I66" t="s">
        <v>52</v>
      </c>
      <c r="J66">
        <v>262.375</v>
      </c>
      <c r="K66" t="s">
        <v>53</v>
      </c>
      <c r="L66" t="s">
        <v>25</v>
      </c>
    </row>
    <row r="67" spans="1:12" x14ac:dyDescent="0.25">
      <c r="A67">
        <v>957</v>
      </c>
      <c r="B67">
        <v>1</v>
      </c>
      <c r="C67">
        <v>2</v>
      </c>
      <c r="D67" t="s">
        <v>116</v>
      </c>
      <c r="E67" t="s">
        <v>16</v>
      </c>
      <c r="G67">
        <v>0</v>
      </c>
      <c r="H67">
        <v>0</v>
      </c>
      <c r="I67" t="s">
        <v>117</v>
      </c>
      <c r="J67">
        <v>21</v>
      </c>
      <c r="L67" t="s">
        <v>17</v>
      </c>
    </row>
    <row r="68" spans="1:12" x14ac:dyDescent="0.25">
      <c r="A68">
        <v>958</v>
      </c>
      <c r="B68">
        <v>1</v>
      </c>
      <c r="C68">
        <v>3</v>
      </c>
      <c r="D68" t="s">
        <v>118</v>
      </c>
      <c r="E68" t="s">
        <v>16</v>
      </c>
      <c r="F68">
        <v>18</v>
      </c>
      <c r="G68">
        <v>0</v>
      </c>
      <c r="H68">
        <v>0</v>
      </c>
      <c r="I68">
        <v>330963</v>
      </c>
      <c r="J68">
        <v>7.8792</v>
      </c>
      <c r="L68" t="s">
        <v>14</v>
      </c>
    </row>
    <row r="69" spans="1:12" x14ac:dyDescent="0.25">
      <c r="A69">
        <v>959</v>
      </c>
      <c r="B69">
        <v>0</v>
      </c>
      <c r="C69">
        <v>1</v>
      </c>
      <c r="D69" t="s">
        <v>119</v>
      </c>
      <c r="E69" t="s">
        <v>13</v>
      </c>
      <c r="F69">
        <v>47</v>
      </c>
      <c r="G69">
        <v>0</v>
      </c>
      <c r="H69">
        <v>0</v>
      </c>
      <c r="I69">
        <v>113796</v>
      </c>
      <c r="J69">
        <v>42.4</v>
      </c>
      <c r="L69" t="s">
        <v>17</v>
      </c>
    </row>
    <row r="70" spans="1:12" x14ac:dyDescent="0.25">
      <c r="A70">
        <v>960</v>
      </c>
      <c r="B70">
        <v>0</v>
      </c>
      <c r="C70">
        <v>1</v>
      </c>
      <c r="D70" t="s">
        <v>120</v>
      </c>
      <c r="E70" t="s">
        <v>13</v>
      </c>
      <c r="F70">
        <v>31</v>
      </c>
      <c r="G70">
        <v>0</v>
      </c>
      <c r="H70">
        <v>0</v>
      </c>
      <c r="I70">
        <v>2543</v>
      </c>
      <c r="J70">
        <v>28.537500000000001</v>
      </c>
      <c r="K70" t="s">
        <v>121</v>
      </c>
      <c r="L70" t="s">
        <v>25</v>
      </c>
    </row>
    <row r="71" spans="1:12" x14ac:dyDescent="0.25">
      <c r="A71">
        <v>961</v>
      </c>
      <c r="B71">
        <v>1</v>
      </c>
      <c r="C71">
        <v>1</v>
      </c>
      <c r="D71" t="s">
        <v>122</v>
      </c>
      <c r="E71" t="s">
        <v>16</v>
      </c>
      <c r="F71">
        <v>60</v>
      </c>
      <c r="G71">
        <v>1</v>
      </c>
      <c r="H71">
        <v>4</v>
      </c>
      <c r="I71">
        <v>19950</v>
      </c>
      <c r="J71">
        <v>263</v>
      </c>
      <c r="K71" t="s">
        <v>101</v>
      </c>
      <c r="L71" t="s">
        <v>17</v>
      </c>
    </row>
    <row r="72" spans="1:12" x14ac:dyDescent="0.25">
      <c r="A72">
        <v>962</v>
      </c>
      <c r="B72">
        <v>1</v>
      </c>
      <c r="C72">
        <v>3</v>
      </c>
      <c r="D72" t="s">
        <v>123</v>
      </c>
      <c r="E72" t="s">
        <v>16</v>
      </c>
      <c r="F72">
        <v>24</v>
      </c>
      <c r="G72">
        <v>0</v>
      </c>
      <c r="H72">
        <v>0</v>
      </c>
      <c r="I72">
        <v>382653</v>
      </c>
      <c r="J72">
        <v>7.75</v>
      </c>
      <c r="L72" t="s">
        <v>14</v>
      </c>
    </row>
    <row r="73" spans="1:12" x14ac:dyDescent="0.25">
      <c r="A73">
        <v>963</v>
      </c>
      <c r="B73">
        <v>0</v>
      </c>
      <c r="C73">
        <v>3</v>
      </c>
      <c r="D73" t="s">
        <v>124</v>
      </c>
      <c r="E73" t="s">
        <v>13</v>
      </c>
      <c r="F73">
        <v>21</v>
      </c>
      <c r="G73">
        <v>0</v>
      </c>
      <c r="H73">
        <v>0</v>
      </c>
      <c r="I73">
        <v>349211</v>
      </c>
      <c r="J73">
        <v>7.8958000000000004</v>
      </c>
      <c r="L73" t="s">
        <v>17</v>
      </c>
    </row>
    <row r="74" spans="1:12" x14ac:dyDescent="0.25">
      <c r="A74">
        <v>964</v>
      </c>
      <c r="B74">
        <v>1</v>
      </c>
      <c r="C74">
        <v>3</v>
      </c>
      <c r="D74" t="s">
        <v>125</v>
      </c>
      <c r="E74" t="s">
        <v>16</v>
      </c>
      <c r="F74">
        <v>29</v>
      </c>
      <c r="G74">
        <v>0</v>
      </c>
      <c r="H74">
        <v>0</v>
      </c>
      <c r="I74">
        <v>3101297</v>
      </c>
      <c r="J74">
        <v>7.9249999999999998</v>
      </c>
      <c r="L74" t="s">
        <v>17</v>
      </c>
    </row>
    <row r="75" spans="1:12" x14ac:dyDescent="0.25">
      <c r="A75">
        <v>965</v>
      </c>
      <c r="B75">
        <v>0</v>
      </c>
      <c r="C75">
        <v>1</v>
      </c>
      <c r="D75" t="s">
        <v>126</v>
      </c>
      <c r="E75" t="s">
        <v>13</v>
      </c>
      <c r="F75">
        <v>28.5</v>
      </c>
      <c r="G75">
        <v>0</v>
      </c>
      <c r="H75">
        <v>0</v>
      </c>
      <c r="I75" t="s">
        <v>127</v>
      </c>
      <c r="J75">
        <v>27.720800000000001</v>
      </c>
      <c r="K75" t="s">
        <v>128</v>
      </c>
      <c r="L75" t="s">
        <v>25</v>
      </c>
    </row>
    <row r="76" spans="1:12" x14ac:dyDescent="0.25">
      <c r="A76">
        <v>966</v>
      </c>
      <c r="B76">
        <v>1</v>
      </c>
      <c r="C76">
        <v>1</v>
      </c>
      <c r="D76" t="s">
        <v>129</v>
      </c>
      <c r="E76" t="s">
        <v>16</v>
      </c>
      <c r="F76">
        <v>35</v>
      </c>
      <c r="G76">
        <v>0</v>
      </c>
      <c r="H76">
        <v>0</v>
      </c>
      <c r="I76">
        <v>113503</v>
      </c>
      <c r="J76">
        <v>211.5</v>
      </c>
      <c r="K76" t="s">
        <v>130</v>
      </c>
      <c r="L76" t="s">
        <v>25</v>
      </c>
    </row>
    <row r="77" spans="1:12" x14ac:dyDescent="0.25">
      <c r="A77">
        <v>967</v>
      </c>
      <c r="B77">
        <v>0</v>
      </c>
      <c r="C77">
        <v>1</v>
      </c>
      <c r="D77" t="s">
        <v>131</v>
      </c>
      <c r="E77" t="s">
        <v>13</v>
      </c>
      <c r="F77">
        <v>32.5</v>
      </c>
      <c r="G77">
        <v>0</v>
      </c>
      <c r="H77">
        <v>0</v>
      </c>
      <c r="I77">
        <v>113503</v>
      </c>
      <c r="J77">
        <v>211.5</v>
      </c>
      <c r="K77" t="s">
        <v>132</v>
      </c>
      <c r="L77" t="s">
        <v>25</v>
      </c>
    </row>
    <row r="78" spans="1:12" x14ac:dyDescent="0.25">
      <c r="A78">
        <v>968</v>
      </c>
      <c r="B78">
        <v>0</v>
      </c>
      <c r="C78">
        <v>3</v>
      </c>
      <c r="D78" t="s">
        <v>133</v>
      </c>
      <c r="E78" t="s">
        <v>13</v>
      </c>
      <c r="G78">
        <v>0</v>
      </c>
      <c r="H78">
        <v>0</v>
      </c>
      <c r="I78">
        <v>359306</v>
      </c>
      <c r="J78">
        <v>8.0500000000000007</v>
      </c>
      <c r="L78" t="s">
        <v>17</v>
      </c>
    </row>
    <row r="79" spans="1:12" x14ac:dyDescent="0.25">
      <c r="A79">
        <v>969</v>
      </c>
      <c r="B79">
        <v>1</v>
      </c>
      <c r="C79">
        <v>1</v>
      </c>
      <c r="D79" t="s">
        <v>134</v>
      </c>
      <c r="E79" t="s">
        <v>16</v>
      </c>
      <c r="F79">
        <v>55</v>
      </c>
      <c r="G79">
        <v>2</v>
      </c>
      <c r="H79">
        <v>0</v>
      </c>
      <c r="I79">
        <v>11770</v>
      </c>
      <c r="J79">
        <v>25.7</v>
      </c>
      <c r="K79" t="s">
        <v>135</v>
      </c>
      <c r="L79" t="s">
        <v>17</v>
      </c>
    </row>
    <row r="80" spans="1:12" x14ac:dyDescent="0.25">
      <c r="A80">
        <v>970</v>
      </c>
      <c r="B80">
        <v>0</v>
      </c>
      <c r="C80">
        <v>2</v>
      </c>
      <c r="D80" t="s">
        <v>136</v>
      </c>
      <c r="E80" t="s">
        <v>13</v>
      </c>
      <c r="F80">
        <v>30</v>
      </c>
      <c r="G80">
        <v>0</v>
      </c>
      <c r="H80">
        <v>0</v>
      </c>
      <c r="I80">
        <v>248744</v>
      </c>
      <c r="J80">
        <v>13</v>
      </c>
      <c r="L80" t="s">
        <v>17</v>
      </c>
    </row>
    <row r="81" spans="1:12" x14ac:dyDescent="0.25">
      <c r="A81">
        <v>971</v>
      </c>
      <c r="B81">
        <v>1</v>
      </c>
      <c r="C81">
        <v>3</v>
      </c>
      <c r="D81" t="s">
        <v>137</v>
      </c>
      <c r="E81" t="s">
        <v>16</v>
      </c>
      <c r="F81">
        <v>24</v>
      </c>
      <c r="G81">
        <v>0</v>
      </c>
      <c r="H81">
        <v>0</v>
      </c>
      <c r="I81">
        <v>368702</v>
      </c>
      <c r="J81">
        <v>7.75</v>
      </c>
      <c r="L81" t="s">
        <v>14</v>
      </c>
    </row>
    <row r="82" spans="1:12" x14ac:dyDescent="0.25">
      <c r="A82">
        <v>972</v>
      </c>
      <c r="B82">
        <v>0</v>
      </c>
      <c r="C82">
        <v>3</v>
      </c>
      <c r="D82" t="s">
        <v>138</v>
      </c>
      <c r="E82" t="s">
        <v>13</v>
      </c>
      <c r="F82">
        <v>6</v>
      </c>
      <c r="G82">
        <v>1</v>
      </c>
      <c r="H82">
        <v>1</v>
      </c>
      <c r="I82">
        <v>2678</v>
      </c>
      <c r="J82">
        <v>15.245799999999999</v>
      </c>
      <c r="L82" t="s">
        <v>25</v>
      </c>
    </row>
    <row r="83" spans="1:12" x14ac:dyDescent="0.25">
      <c r="A83">
        <v>973</v>
      </c>
      <c r="B83">
        <v>0</v>
      </c>
      <c r="C83">
        <v>1</v>
      </c>
      <c r="D83" t="s">
        <v>139</v>
      </c>
      <c r="E83" t="s">
        <v>13</v>
      </c>
      <c r="F83">
        <v>67</v>
      </c>
      <c r="G83">
        <v>1</v>
      </c>
      <c r="H83">
        <v>0</v>
      </c>
      <c r="I83" t="s">
        <v>140</v>
      </c>
      <c r="J83">
        <v>221.7792</v>
      </c>
      <c r="K83" t="s">
        <v>141</v>
      </c>
      <c r="L83" t="s">
        <v>17</v>
      </c>
    </row>
    <row r="84" spans="1:12" x14ac:dyDescent="0.25">
      <c r="A84">
        <v>974</v>
      </c>
      <c r="B84">
        <v>0</v>
      </c>
      <c r="C84">
        <v>1</v>
      </c>
      <c r="D84" t="s">
        <v>142</v>
      </c>
      <c r="E84" t="s">
        <v>13</v>
      </c>
      <c r="F84">
        <v>49</v>
      </c>
      <c r="G84">
        <v>0</v>
      </c>
      <c r="H84">
        <v>0</v>
      </c>
      <c r="I84">
        <v>19924</v>
      </c>
      <c r="J84">
        <v>26</v>
      </c>
      <c r="L84" t="s">
        <v>17</v>
      </c>
    </row>
    <row r="85" spans="1:12" x14ac:dyDescent="0.25">
      <c r="A85">
        <v>975</v>
      </c>
      <c r="B85">
        <v>0</v>
      </c>
      <c r="C85">
        <v>3</v>
      </c>
      <c r="D85" t="s">
        <v>143</v>
      </c>
      <c r="E85" t="s">
        <v>13</v>
      </c>
      <c r="G85">
        <v>0</v>
      </c>
      <c r="H85">
        <v>0</v>
      </c>
      <c r="I85">
        <v>349238</v>
      </c>
      <c r="J85">
        <v>7.8958000000000004</v>
      </c>
      <c r="L85" t="s">
        <v>17</v>
      </c>
    </row>
    <row r="86" spans="1:12" x14ac:dyDescent="0.25">
      <c r="A86">
        <v>976</v>
      </c>
      <c r="B86">
        <v>0</v>
      </c>
      <c r="C86">
        <v>2</v>
      </c>
      <c r="D86" t="s">
        <v>144</v>
      </c>
      <c r="E86" t="s">
        <v>13</v>
      </c>
      <c r="G86">
        <v>0</v>
      </c>
      <c r="H86">
        <v>0</v>
      </c>
      <c r="I86">
        <v>240261</v>
      </c>
      <c r="J86">
        <v>10.708299999999999</v>
      </c>
      <c r="L86" t="s">
        <v>14</v>
      </c>
    </row>
    <row r="87" spans="1:12" x14ac:dyDescent="0.25">
      <c r="A87">
        <v>977</v>
      </c>
      <c r="B87">
        <v>0</v>
      </c>
      <c r="C87">
        <v>3</v>
      </c>
      <c r="D87" t="s">
        <v>145</v>
      </c>
      <c r="E87" t="s">
        <v>13</v>
      </c>
      <c r="G87">
        <v>1</v>
      </c>
      <c r="H87">
        <v>0</v>
      </c>
      <c r="I87">
        <v>2660</v>
      </c>
      <c r="J87">
        <v>14.4542</v>
      </c>
      <c r="L87" t="s">
        <v>25</v>
      </c>
    </row>
    <row r="88" spans="1:12" x14ac:dyDescent="0.25">
      <c r="A88">
        <v>978</v>
      </c>
      <c r="B88">
        <v>1</v>
      </c>
      <c r="C88">
        <v>3</v>
      </c>
      <c r="D88" t="s">
        <v>146</v>
      </c>
      <c r="E88" t="s">
        <v>16</v>
      </c>
      <c r="F88">
        <v>27</v>
      </c>
      <c r="G88">
        <v>0</v>
      </c>
      <c r="H88">
        <v>0</v>
      </c>
      <c r="I88">
        <v>330844</v>
      </c>
      <c r="J88">
        <v>7.8792</v>
      </c>
      <c r="L88" t="s">
        <v>14</v>
      </c>
    </row>
    <row r="89" spans="1:12" x14ac:dyDescent="0.25">
      <c r="A89">
        <v>979</v>
      </c>
      <c r="B89">
        <v>1</v>
      </c>
      <c r="C89">
        <v>3</v>
      </c>
      <c r="D89" t="s">
        <v>147</v>
      </c>
      <c r="E89" t="s">
        <v>16</v>
      </c>
      <c r="F89">
        <v>18</v>
      </c>
      <c r="G89">
        <v>0</v>
      </c>
      <c r="H89">
        <v>0</v>
      </c>
      <c r="I89" t="s">
        <v>148</v>
      </c>
      <c r="J89">
        <v>8.0500000000000007</v>
      </c>
      <c r="L89" t="s">
        <v>17</v>
      </c>
    </row>
    <row r="90" spans="1:12" x14ac:dyDescent="0.25">
      <c r="A90">
        <v>980</v>
      </c>
      <c r="B90">
        <v>1</v>
      </c>
      <c r="C90">
        <v>3</v>
      </c>
      <c r="D90" t="s">
        <v>149</v>
      </c>
      <c r="E90" t="s">
        <v>16</v>
      </c>
      <c r="G90">
        <v>0</v>
      </c>
      <c r="H90">
        <v>0</v>
      </c>
      <c r="I90">
        <v>364856</v>
      </c>
      <c r="J90">
        <v>7.75</v>
      </c>
      <c r="L90" t="s">
        <v>14</v>
      </c>
    </row>
    <row r="91" spans="1:12" x14ac:dyDescent="0.25">
      <c r="A91">
        <v>981</v>
      </c>
      <c r="B91">
        <v>0</v>
      </c>
      <c r="C91">
        <v>2</v>
      </c>
      <c r="D91" t="s">
        <v>150</v>
      </c>
      <c r="E91" t="s">
        <v>13</v>
      </c>
      <c r="F91">
        <v>2</v>
      </c>
      <c r="G91">
        <v>1</v>
      </c>
      <c r="H91">
        <v>1</v>
      </c>
      <c r="I91">
        <v>29103</v>
      </c>
      <c r="J91">
        <v>23</v>
      </c>
      <c r="L91" t="s">
        <v>17</v>
      </c>
    </row>
    <row r="92" spans="1:12" x14ac:dyDescent="0.25">
      <c r="A92">
        <v>982</v>
      </c>
      <c r="B92">
        <v>1</v>
      </c>
      <c r="C92">
        <v>3</v>
      </c>
      <c r="D92" t="s">
        <v>151</v>
      </c>
      <c r="E92" t="s">
        <v>16</v>
      </c>
      <c r="F92">
        <v>22</v>
      </c>
      <c r="G92">
        <v>1</v>
      </c>
      <c r="H92">
        <v>0</v>
      </c>
      <c r="I92">
        <v>347072</v>
      </c>
      <c r="J92">
        <v>13.9</v>
      </c>
      <c r="L92" t="s">
        <v>17</v>
      </c>
    </row>
    <row r="93" spans="1:12" x14ac:dyDescent="0.25">
      <c r="A93">
        <v>983</v>
      </c>
      <c r="B93">
        <v>0</v>
      </c>
      <c r="C93">
        <v>3</v>
      </c>
      <c r="D93" t="s">
        <v>152</v>
      </c>
      <c r="E93" t="s">
        <v>13</v>
      </c>
      <c r="G93">
        <v>0</v>
      </c>
      <c r="H93">
        <v>0</v>
      </c>
      <c r="I93">
        <v>345498</v>
      </c>
      <c r="J93">
        <v>7.7750000000000004</v>
      </c>
      <c r="L93" t="s">
        <v>17</v>
      </c>
    </row>
    <row r="94" spans="1:12" x14ac:dyDescent="0.25">
      <c r="A94">
        <v>984</v>
      </c>
      <c r="B94">
        <v>1</v>
      </c>
      <c r="C94">
        <v>1</v>
      </c>
      <c r="D94" t="s">
        <v>153</v>
      </c>
      <c r="E94" t="s">
        <v>16</v>
      </c>
      <c r="F94">
        <v>27</v>
      </c>
      <c r="G94">
        <v>1</v>
      </c>
      <c r="H94">
        <v>2</v>
      </c>
      <c r="I94" t="s">
        <v>154</v>
      </c>
      <c r="J94">
        <v>52</v>
      </c>
      <c r="K94" t="s">
        <v>155</v>
      </c>
      <c r="L94" t="s">
        <v>17</v>
      </c>
    </row>
    <row r="95" spans="1:12" x14ac:dyDescent="0.25">
      <c r="A95">
        <v>985</v>
      </c>
      <c r="B95">
        <v>0</v>
      </c>
      <c r="C95">
        <v>3</v>
      </c>
      <c r="D95" t="s">
        <v>156</v>
      </c>
      <c r="E95" t="s">
        <v>13</v>
      </c>
      <c r="G95">
        <v>0</v>
      </c>
      <c r="H95">
        <v>0</v>
      </c>
      <c r="I95">
        <v>376563</v>
      </c>
      <c r="J95">
        <v>8.0500000000000007</v>
      </c>
      <c r="L95" t="s">
        <v>17</v>
      </c>
    </row>
    <row r="96" spans="1:12" x14ac:dyDescent="0.25">
      <c r="A96">
        <v>986</v>
      </c>
      <c r="B96">
        <v>0</v>
      </c>
      <c r="C96">
        <v>1</v>
      </c>
      <c r="D96" t="s">
        <v>157</v>
      </c>
      <c r="E96" t="s">
        <v>13</v>
      </c>
      <c r="F96">
        <v>25</v>
      </c>
      <c r="G96">
        <v>0</v>
      </c>
      <c r="H96">
        <v>0</v>
      </c>
      <c r="I96">
        <v>13905</v>
      </c>
      <c r="J96">
        <v>26</v>
      </c>
      <c r="L96" t="s">
        <v>25</v>
      </c>
    </row>
    <row r="97" spans="1:12" x14ac:dyDescent="0.25">
      <c r="A97">
        <v>987</v>
      </c>
      <c r="B97">
        <v>0</v>
      </c>
      <c r="C97">
        <v>3</v>
      </c>
      <c r="D97" t="s">
        <v>158</v>
      </c>
      <c r="E97" t="s">
        <v>13</v>
      </c>
      <c r="F97">
        <v>25</v>
      </c>
      <c r="G97">
        <v>0</v>
      </c>
      <c r="H97">
        <v>0</v>
      </c>
      <c r="I97">
        <v>350033</v>
      </c>
      <c r="J97">
        <v>7.7957999999999998</v>
      </c>
      <c r="L97" t="s">
        <v>17</v>
      </c>
    </row>
    <row r="98" spans="1:12" x14ac:dyDescent="0.25">
      <c r="A98">
        <v>988</v>
      </c>
      <c r="B98">
        <v>1</v>
      </c>
      <c r="C98">
        <v>1</v>
      </c>
      <c r="D98" t="s">
        <v>159</v>
      </c>
      <c r="E98" t="s">
        <v>16</v>
      </c>
      <c r="F98">
        <v>76</v>
      </c>
      <c r="G98">
        <v>1</v>
      </c>
      <c r="H98">
        <v>0</v>
      </c>
      <c r="I98">
        <v>19877</v>
      </c>
      <c r="J98">
        <v>78.849999999999994</v>
      </c>
      <c r="K98" t="s">
        <v>160</v>
      </c>
      <c r="L98" t="s">
        <v>17</v>
      </c>
    </row>
    <row r="99" spans="1:12" x14ac:dyDescent="0.25">
      <c r="A99">
        <v>989</v>
      </c>
      <c r="B99">
        <v>0</v>
      </c>
      <c r="C99">
        <v>3</v>
      </c>
      <c r="D99" t="s">
        <v>161</v>
      </c>
      <c r="E99" t="s">
        <v>13</v>
      </c>
      <c r="F99">
        <v>29</v>
      </c>
      <c r="G99">
        <v>0</v>
      </c>
      <c r="H99">
        <v>0</v>
      </c>
      <c r="I99" t="s">
        <v>162</v>
      </c>
      <c r="J99">
        <v>7.9249999999999998</v>
      </c>
      <c r="L99" t="s">
        <v>17</v>
      </c>
    </row>
    <row r="100" spans="1:12" x14ac:dyDescent="0.25">
      <c r="A100">
        <v>990</v>
      </c>
      <c r="B100">
        <v>1</v>
      </c>
      <c r="C100">
        <v>3</v>
      </c>
      <c r="D100" t="s">
        <v>163</v>
      </c>
      <c r="E100" t="s">
        <v>16</v>
      </c>
      <c r="F100">
        <v>20</v>
      </c>
      <c r="G100">
        <v>0</v>
      </c>
      <c r="H100">
        <v>0</v>
      </c>
      <c r="I100">
        <v>347471</v>
      </c>
      <c r="J100">
        <v>7.8541999999999996</v>
      </c>
      <c r="L100" t="s">
        <v>17</v>
      </c>
    </row>
    <row r="101" spans="1:12" x14ac:dyDescent="0.25">
      <c r="A101">
        <v>991</v>
      </c>
      <c r="B101">
        <v>0</v>
      </c>
      <c r="C101">
        <v>3</v>
      </c>
      <c r="D101" t="s">
        <v>164</v>
      </c>
      <c r="E101" t="s">
        <v>13</v>
      </c>
      <c r="F101">
        <v>33</v>
      </c>
      <c r="G101">
        <v>0</v>
      </c>
      <c r="H101">
        <v>0</v>
      </c>
      <c r="I101" t="s">
        <v>165</v>
      </c>
      <c r="J101">
        <v>8.0500000000000007</v>
      </c>
      <c r="L101"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06"/>
  <sheetViews>
    <sheetView tabSelected="1" workbookViewId="0">
      <selection activeCell="F28" sqref="F28"/>
    </sheetView>
  </sheetViews>
  <sheetFormatPr defaultRowHeight="15" x14ac:dyDescent="0.25"/>
  <cols>
    <col min="1" max="1" width="59" bestFit="1" customWidth="1"/>
    <col min="2" max="2" width="15.42578125" bestFit="1" customWidth="1"/>
    <col min="3" max="3" width="11" bestFit="1" customWidth="1"/>
    <col min="4" max="4" width="17.7109375" bestFit="1" customWidth="1"/>
    <col min="5" max="5" width="5.140625" bestFit="1" customWidth="1"/>
    <col min="6" max="6" width="10.7109375" bestFit="1" customWidth="1"/>
    <col min="7" max="7" width="7" bestFit="1" customWidth="1"/>
    <col min="8" max="8" width="22.5703125" bestFit="1" customWidth="1"/>
    <col min="9" max="9" width="19.7109375" bestFit="1" customWidth="1"/>
    <col min="10" max="10" width="15.42578125" bestFit="1" customWidth="1"/>
    <col min="11" max="39" width="52.140625" bestFit="1" customWidth="1"/>
    <col min="40" max="40" width="11.42578125" bestFit="1" customWidth="1"/>
    <col min="41" max="101" width="40.28515625" bestFit="1" customWidth="1"/>
    <col min="102" max="102" width="9.7109375" bestFit="1" customWidth="1"/>
    <col min="103" max="141" width="52.140625" bestFit="1" customWidth="1"/>
    <col min="142" max="142" width="11.42578125" bestFit="1" customWidth="1"/>
    <col min="143" max="203" width="40.28515625" bestFit="1" customWidth="1"/>
    <col min="204" max="204" width="9.7109375" bestFit="1" customWidth="1"/>
    <col min="205" max="243" width="52.140625" bestFit="1" customWidth="1"/>
    <col min="244" max="244" width="11.42578125" bestFit="1" customWidth="1"/>
    <col min="245" max="305" width="40.28515625" bestFit="1" customWidth="1"/>
    <col min="306" max="306" width="9.7109375" bestFit="1" customWidth="1"/>
    <col min="307" max="307" width="22.5703125" bestFit="1" customWidth="1"/>
    <col min="308" max="308" width="19.7109375" bestFit="1" customWidth="1"/>
    <col min="309" max="309" width="15.42578125" bestFit="1" customWidth="1"/>
  </cols>
  <sheetData>
    <row r="3" spans="1:3" x14ac:dyDescent="0.25">
      <c r="A3" s="2" t="s">
        <v>166</v>
      </c>
      <c r="B3" t="s">
        <v>169</v>
      </c>
      <c r="C3" t="s">
        <v>168</v>
      </c>
    </row>
    <row r="4" spans="1:3" x14ac:dyDescent="0.25">
      <c r="A4" s="3" t="s">
        <v>16</v>
      </c>
      <c r="B4" s="1">
        <v>39</v>
      </c>
      <c r="C4" s="1">
        <v>1119</v>
      </c>
    </row>
    <row r="5" spans="1:3" x14ac:dyDescent="0.25">
      <c r="A5" s="4" t="s">
        <v>24</v>
      </c>
      <c r="B5" s="1">
        <v>1</v>
      </c>
      <c r="C5" s="1">
        <v>18</v>
      </c>
    </row>
    <row r="6" spans="1:3" x14ac:dyDescent="0.25">
      <c r="A6" s="4" t="s">
        <v>42</v>
      </c>
      <c r="B6" s="1">
        <v>1</v>
      </c>
      <c r="C6" s="1">
        <v>45</v>
      </c>
    </row>
    <row r="7" spans="1:3" x14ac:dyDescent="0.25">
      <c r="A7" s="4" t="s">
        <v>147</v>
      </c>
      <c r="B7" s="1">
        <v>1</v>
      </c>
      <c r="C7" s="1">
        <v>18</v>
      </c>
    </row>
    <row r="8" spans="1:3" x14ac:dyDescent="0.25">
      <c r="A8" s="4" t="s">
        <v>146</v>
      </c>
      <c r="B8" s="1">
        <v>1</v>
      </c>
      <c r="C8" s="1">
        <v>27</v>
      </c>
    </row>
    <row r="9" spans="1:3" x14ac:dyDescent="0.25">
      <c r="A9" s="4" t="s">
        <v>114</v>
      </c>
      <c r="B9" s="1">
        <v>1</v>
      </c>
      <c r="C9" s="1">
        <v>22</v>
      </c>
    </row>
    <row r="10" spans="1:3" x14ac:dyDescent="0.25">
      <c r="A10" s="4" t="s">
        <v>163</v>
      </c>
      <c r="B10" s="1">
        <v>1</v>
      </c>
      <c r="C10" s="1">
        <v>20</v>
      </c>
    </row>
    <row r="11" spans="1:3" x14ac:dyDescent="0.25">
      <c r="A11" s="4" t="s">
        <v>91</v>
      </c>
      <c r="B11" s="1">
        <v>1</v>
      </c>
      <c r="C11" s="1">
        <v>60</v>
      </c>
    </row>
    <row r="12" spans="1:3" x14ac:dyDescent="0.25">
      <c r="A12" s="4" t="s">
        <v>118</v>
      </c>
      <c r="B12" s="1">
        <v>1</v>
      </c>
      <c r="C12" s="1">
        <v>18</v>
      </c>
    </row>
    <row r="13" spans="1:3" x14ac:dyDescent="0.25">
      <c r="A13" s="4" t="s">
        <v>74</v>
      </c>
      <c r="B13" s="1">
        <v>1</v>
      </c>
      <c r="C13" s="1">
        <v>21</v>
      </c>
    </row>
    <row r="14" spans="1:3" x14ac:dyDescent="0.25">
      <c r="A14" s="4" t="s">
        <v>159</v>
      </c>
      <c r="B14" s="1">
        <v>1</v>
      </c>
      <c r="C14" s="1">
        <v>76</v>
      </c>
    </row>
    <row r="15" spans="1:3" x14ac:dyDescent="0.25">
      <c r="A15" s="4" t="s">
        <v>33</v>
      </c>
      <c r="B15" s="1">
        <v>1</v>
      </c>
      <c r="C15" s="1">
        <v>47</v>
      </c>
    </row>
    <row r="16" spans="1:3" x14ac:dyDescent="0.25">
      <c r="A16" s="4" t="s">
        <v>109</v>
      </c>
      <c r="B16" s="1">
        <v>1</v>
      </c>
      <c r="C16" s="1">
        <v>36</v>
      </c>
    </row>
    <row r="17" spans="1:3" x14ac:dyDescent="0.25">
      <c r="A17" s="4" t="s">
        <v>22</v>
      </c>
      <c r="B17" s="1">
        <v>1</v>
      </c>
      <c r="C17" s="1">
        <v>30</v>
      </c>
    </row>
    <row r="18" spans="1:3" x14ac:dyDescent="0.25">
      <c r="A18" s="4" t="s">
        <v>82</v>
      </c>
      <c r="B18" s="1">
        <v>1</v>
      </c>
      <c r="C18" s="1">
        <v>30</v>
      </c>
    </row>
    <row r="19" spans="1:3" x14ac:dyDescent="0.25">
      <c r="A19" s="4" t="s">
        <v>116</v>
      </c>
      <c r="B19" s="1">
        <v>1</v>
      </c>
      <c r="C19" s="1"/>
    </row>
    <row r="20" spans="1:3" x14ac:dyDescent="0.25">
      <c r="A20" s="4" t="s">
        <v>134</v>
      </c>
      <c r="B20" s="1">
        <v>1</v>
      </c>
      <c r="C20" s="1">
        <v>55</v>
      </c>
    </row>
    <row r="21" spans="1:3" x14ac:dyDescent="0.25">
      <c r="A21" s="4" t="s">
        <v>93</v>
      </c>
      <c r="B21" s="1">
        <v>1</v>
      </c>
      <c r="C21" s="1">
        <v>36</v>
      </c>
    </row>
    <row r="22" spans="1:3" x14ac:dyDescent="0.25">
      <c r="A22" s="4" t="s">
        <v>153</v>
      </c>
      <c r="B22" s="1">
        <v>1</v>
      </c>
      <c r="C22" s="1">
        <v>27</v>
      </c>
    </row>
    <row r="23" spans="1:3" x14ac:dyDescent="0.25">
      <c r="A23" s="4" t="s">
        <v>66</v>
      </c>
      <c r="B23" s="1">
        <v>1</v>
      </c>
      <c r="C23" s="1">
        <v>33</v>
      </c>
    </row>
    <row r="24" spans="1:3" x14ac:dyDescent="0.25">
      <c r="A24" s="4" t="s">
        <v>36</v>
      </c>
      <c r="B24" s="1">
        <v>1</v>
      </c>
      <c r="C24" s="1">
        <v>24</v>
      </c>
    </row>
    <row r="25" spans="1:3" x14ac:dyDescent="0.25">
      <c r="A25" s="4" t="s">
        <v>137</v>
      </c>
      <c r="B25" s="1">
        <v>1</v>
      </c>
      <c r="C25" s="1">
        <v>24</v>
      </c>
    </row>
    <row r="26" spans="1:3" x14ac:dyDescent="0.25">
      <c r="A26" s="4" t="s">
        <v>151</v>
      </c>
      <c r="B26" s="1">
        <v>1</v>
      </c>
      <c r="C26" s="1">
        <v>22</v>
      </c>
    </row>
    <row r="27" spans="1:3" x14ac:dyDescent="0.25">
      <c r="A27" s="4" t="s">
        <v>47</v>
      </c>
      <c r="B27" s="1">
        <v>1</v>
      </c>
      <c r="C27" s="1"/>
    </row>
    <row r="28" spans="1:3" x14ac:dyDescent="0.25">
      <c r="A28" s="4" t="s">
        <v>100</v>
      </c>
      <c r="B28" s="1">
        <v>1</v>
      </c>
      <c r="C28" s="1">
        <v>28</v>
      </c>
    </row>
    <row r="29" spans="1:3" x14ac:dyDescent="0.25">
      <c r="A29" s="4" t="s">
        <v>122</v>
      </c>
      <c r="B29" s="1">
        <v>1</v>
      </c>
      <c r="C29" s="1">
        <v>60</v>
      </c>
    </row>
    <row r="30" spans="1:3" x14ac:dyDescent="0.25">
      <c r="A30" s="4" t="s">
        <v>129</v>
      </c>
      <c r="B30" s="1">
        <v>1</v>
      </c>
      <c r="C30" s="1">
        <v>35</v>
      </c>
    </row>
    <row r="31" spans="1:3" x14ac:dyDescent="0.25">
      <c r="A31" s="4" t="s">
        <v>20</v>
      </c>
      <c r="B31" s="1">
        <v>1</v>
      </c>
      <c r="C31" s="1">
        <v>22</v>
      </c>
    </row>
    <row r="32" spans="1:3" x14ac:dyDescent="0.25">
      <c r="A32" s="4" t="s">
        <v>99</v>
      </c>
      <c r="B32" s="1">
        <v>1</v>
      </c>
      <c r="C32" s="1">
        <v>20</v>
      </c>
    </row>
    <row r="33" spans="1:3" x14ac:dyDescent="0.25">
      <c r="A33" s="4" t="s">
        <v>40</v>
      </c>
      <c r="B33" s="1">
        <v>1</v>
      </c>
      <c r="C33" s="1">
        <v>27</v>
      </c>
    </row>
    <row r="34" spans="1:3" x14ac:dyDescent="0.25">
      <c r="A34" s="4" t="s">
        <v>68</v>
      </c>
      <c r="B34" s="1">
        <v>1</v>
      </c>
      <c r="C34" s="1"/>
    </row>
    <row r="35" spans="1:3" x14ac:dyDescent="0.25">
      <c r="A35" s="4" t="s">
        <v>83</v>
      </c>
      <c r="B35" s="1">
        <v>1</v>
      </c>
      <c r="C35" s="1">
        <v>45</v>
      </c>
    </row>
    <row r="36" spans="1:3" x14ac:dyDescent="0.25">
      <c r="A36" s="4" t="s">
        <v>123</v>
      </c>
      <c r="B36" s="1">
        <v>1</v>
      </c>
      <c r="C36" s="1">
        <v>24</v>
      </c>
    </row>
    <row r="37" spans="1:3" x14ac:dyDescent="0.25">
      <c r="A37" s="4" t="s">
        <v>125</v>
      </c>
      <c r="B37" s="1">
        <v>1</v>
      </c>
      <c r="C37" s="1">
        <v>29</v>
      </c>
    </row>
    <row r="38" spans="1:3" x14ac:dyDescent="0.25">
      <c r="A38" s="4" t="s">
        <v>149</v>
      </c>
      <c r="B38" s="1">
        <v>1</v>
      </c>
      <c r="C38" s="1"/>
    </row>
    <row r="39" spans="1:3" x14ac:dyDescent="0.25">
      <c r="A39" s="4" t="s">
        <v>56</v>
      </c>
      <c r="B39" s="1">
        <v>1</v>
      </c>
      <c r="C39" s="1">
        <v>22</v>
      </c>
    </row>
    <row r="40" spans="1:3" x14ac:dyDescent="0.25">
      <c r="A40" s="4" t="s">
        <v>73</v>
      </c>
      <c r="B40" s="1">
        <v>1</v>
      </c>
      <c r="C40" s="1"/>
    </row>
    <row r="41" spans="1:3" x14ac:dyDescent="0.25">
      <c r="A41" s="4" t="s">
        <v>51</v>
      </c>
      <c r="B41" s="1">
        <v>1</v>
      </c>
      <c r="C41" s="1">
        <v>48</v>
      </c>
    </row>
    <row r="42" spans="1:3" x14ac:dyDescent="0.25">
      <c r="A42" s="4" t="s">
        <v>30</v>
      </c>
      <c r="B42" s="1">
        <v>1</v>
      </c>
      <c r="C42" s="1">
        <v>23</v>
      </c>
    </row>
    <row r="43" spans="1:3" x14ac:dyDescent="0.25">
      <c r="A43" s="4" t="s">
        <v>15</v>
      </c>
      <c r="B43" s="1">
        <v>1</v>
      </c>
      <c r="C43" s="1">
        <v>47</v>
      </c>
    </row>
    <row r="44" spans="1:3" x14ac:dyDescent="0.25">
      <c r="A44" s="3" t="s">
        <v>13</v>
      </c>
      <c r="B44" s="1">
        <v>0</v>
      </c>
      <c r="C44" s="1">
        <v>1472.5</v>
      </c>
    </row>
    <row r="45" spans="1:3" x14ac:dyDescent="0.25">
      <c r="A45" s="4" t="s">
        <v>106</v>
      </c>
      <c r="B45" s="1">
        <v>0</v>
      </c>
      <c r="C45" s="1">
        <v>25</v>
      </c>
    </row>
    <row r="46" spans="1:3" x14ac:dyDescent="0.25">
      <c r="A46" s="4" t="s">
        <v>136</v>
      </c>
      <c r="B46" s="1">
        <v>0</v>
      </c>
      <c r="C46" s="1">
        <v>30</v>
      </c>
    </row>
    <row r="47" spans="1:3" x14ac:dyDescent="0.25">
      <c r="A47" s="4" t="s">
        <v>39</v>
      </c>
      <c r="B47" s="1">
        <v>0</v>
      </c>
      <c r="C47" s="1">
        <v>21</v>
      </c>
    </row>
    <row r="48" spans="1:3" x14ac:dyDescent="0.25">
      <c r="A48" s="4" t="s">
        <v>157</v>
      </c>
      <c r="B48" s="1">
        <v>0</v>
      </c>
      <c r="C48" s="1">
        <v>25</v>
      </c>
    </row>
    <row r="49" spans="1:3" x14ac:dyDescent="0.25">
      <c r="A49" s="4" t="s">
        <v>113</v>
      </c>
      <c r="B49" s="1">
        <v>0</v>
      </c>
      <c r="C49" s="1">
        <v>18</v>
      </c>
    </row>
    <row r="50" spans="1:3" x14ac:dyDescent="0.25">
      <c r="A50" s="4" t="s">
        <v>138</v>
      </c>
      <c r="B50" s="1">
        <v>0</v>
      </c>
      <c r="C50" s="1">
        <v>6</v>
      </c>
    </row>
    <row r="51" spans="1:3" x14ac:dyDescent="0.25">
      <c r="A51" s="4" t="s">
        <v>59</v>
      </c>
      <c r="B51" s="1">
        <v>0</v>
      </c>
      <c r="C51" s="1">
        <v>41</v>
      </c>
    </row>
    <row r="52" spans="1:3" x14ac:dyDescent="0.25">
      <c r="A52" s="4" t="s">
        <v>23</v>
      </c>
      <c r="B52" s="1">
        <v>0</v>
      </c>
      <c r="C52" s="1">
        <v>26</v>
      </c>
    </row>
    <row r="53" spans="1:3" x14ac:dyDescent="0.25">
      <c r="A53" s="4" t="s">
        <v>142</v>
      </c>
      <c r="B53" s="1">
        <v>0</v>
      </c>
      <c r="C53" s="1">
        <v>49</v>
      </c>
    </row>
    <row r="54" spans="1:3" x14ac:dyDescent="0.25">
      <c r="A54" s="4" t="s">
        <v>87</v>
      </c>
      <c r="B54" s="1">
        <v>0</v>
      </c>
      <c r="C54" s="1">
        <v>45</v>
      </c>
    </row>
    <row r="55" spans="1:3" x14ac:dyDescent="0.25">
      <c r="A55" s="4" t="s">
        <v>105</v>
      </c>
      <c r="B55" s="1">
        <v>0</v>
      </c>
      <c r="C55" s="1">
        <v>35</v>
      </c>
    </row>
    <row r="56" spans="1:3" x14ac:dyDescent="0.25">
      <c r="A56" s="4" t="s">
        <v>58</v>
      </c>
      <c r="B56" s="1">
        <v>0</v>
      </c>
      <c r="C56" s="1">
        <v>22.5</v>
      </c>
    </row>
    <row r="57" spans="1:3" x14ac:dyDescent="0.25">
      <c r="A57" s="4" t="s">
        <v>26</v>
      </c>
      <c r="B57" s="1">
        <v>0</v>
      </c>
      <c r="C57" s="1">
        <v>21</v>
      </c>
    </row>
    <row r="58" spans="1:3" x14ac:dyDescent="0.25">
      <c r="A58" s="4" t="s">
        <v>108</v>
      </c>
      <c r="B58" s="1">
        <v>0</v>
      </c>
      <c r="C58" s="1"/>
    </row>
    <row r="59" spans="1:3" x14ac:dyDescent="0.25">
      <c r="A59" s="4" t="s">
        <v>143</v>
      </c>
      <c r="B59" s="1">
        <v>0</v>
      </c>
      <c r="C59" s="1"/>
    </row>
    <row r="60" spans="1:3" x14ac:dyDescent="0.25">
      <c r="A60" s="4" t="s">
        <v>111</v>
      </c>
      <c r="B60" s="1">
        <v>0</v>
      </c>
      <c r="C60" s="1">
        <v>17</v>
      </c>
    </row>
    <row r="61" spans="1:3" x14ac:dyDescent="0.25">
      <c r="A61" s="4" t="s">
        <v>78</v>
      </c>
      <c r="B61" s="1">
        <v>0</v>
      </c>
      <c r="C61" s="1"/>
    </row>
    <row r="62" spans="1:3" x14ac:dyDescent="0.25">
      <c r="A62" s="4" t="s">
        <v>80</v>
      </c>
      <c r="B62" s="1">
        <v>0</v>
      </c>
      <c r="C62" s="1">
        <v>41</v>
      </c>
    </row>
    <row r="63" spans="1:3" x14ac:dyDescent="0.25">
      <c r="A63" s="4" t="s">
        <v>156</v>
      </c>
      <c r="B63" s="1">
        <v>0</v>
      </c>
      <c r="C63" s="1"/>
    </row>
    <row r="64" spans="1:3" x14ac:dyDescent="0.25">
      <c r="A64" s="4" t="s">
        <v>76</v>
      </c>
      <c r="B64" s="1">
        <v>0</v>
      </c>
      <c r="C64" s="1"/>
    </row>
    <row r="65" spans="1:3" x14ac:dyDescent="0.25">
      <c r="A65" s="4" t="s">
        <v>32</v>
      </c>
      <c r="B65" s="1">
        <v>0</v>
      </c>
      <c r="C65" s="1">
        <v>63</v>
      </c>
    </row>
    <row r="66" spans="1:3" x14ac:dyDescent="0.25">
      <c r="A66" s="4" t="s">
        <v>28</v>
      </c>
      <c r="B66" s="1">
        <v>0</v>
      </c>
      <c r="C66" s="1"/>
    </row>
    <row r="67" spans="1:3" x14ac:dyDescent="0.25">
      <c r="A67" s="4" t="s">
        <v>64</v>
      </c>
      <c r="B67" s="1">
        <v>0</v>
      </c>
      <c r="C67" s="1">
        <v>24</v>
      </c>
    </row>
    <row r="68" spans="1:3" x14ac:dyDescent="0.25">
      <c r="A68" s="4" t="s">
        <v>29</v>
      </c>
      <c r="B68" s="1">
        <v>0</v>
      </c>
      <c r="C68" s="1">
        <v>46</v>
      </c>
    </row>
    <row r="69" spans="1:3" x14ac:dyDescent="0.25">
      <c r="A69" s="4" t="s">
        <v>77</v>
      </c>
      <c r="B69" s="1">
        <v>0</v>
      </c>
      <c r="C69" s="1">
        <v>39</v>
      </c>
    </row>
    <row r="70" spans="1:3" x14ac:dyDescent="0.25">
      <c r="A70" s="4" t="s">
        <v>72</v>
      </c>
      <c r="B70" s="1">
        <v>0</v>
      </c>
      <c r="C70" s="1">
        <v>18.5</v>
      </c>
    </row>
    <row r="71" spans="1:3" x14ac:dyDescent="0.25">
      <c r="A71" s="4" t="s">
        <v>38</v>
      </c>
      <c r="B71" s="1">
        <v>0</v>
      </c>
      <c r="C71" s="1">
        <v>35</v>
      </c>
    </row>
    <row r="72" spans="1:3" x14ac:dyDescent="0.25">
      <c r="A72" s="4" t="s">
        <v>131</v>
      </c>
      <c r="B72" s="1">
        <v>0</v>
      </c>
      <c r="C72" s="1">
        <v>32.5</v>
      </c>
    </row>
    <row r="73" spans="1:3" x14ac:dyDescent="0.25">
      <c r="A73" s="4" t="s">
        <v>12</v>
      </c>
      <c r="B73" s="1">
        <v>0</v>
      </c>
      <c r="C73" s="1">
        <v>34.5</v>
      </c>
    </row>
    <row r="74" spans="1:3" x14ac:dyDescent="0.25">
      <c r="A74" s="4" t="s">
        <v>145</v>
      </c>
      <c r="B74" s="1">
        <v>0</v>
      </c>
      <c r="C74" s="1"/>
    </row>
    <row r="75" spans="1:3" x14ac:dyDescent="0.25">
      <c r="A75" s="4" t="s">
        <v>144</v>
      </c>
      <c r="B75" s="1">
        <v>0</v>
      </c>
      <c r="C75" s="1"/>
    </row>
    <row r="76" spans="1:3" x14ac:dyDescent="0.25">
      <c r="A76" s="4" t="s">
        <v>62</v>
      </c>
      <c r="B76" s="1">
        <v>0</v>
      </c>
      <c r="C76" s="1">
        <v>50</v>
      </c>
    </row>
    <row r="77" spans="1:3" x14ac:dyDescent="0.25">
      <c r="A77" s="4" t="s">
        <v>161</v>
      </c>
      <c r="B77" s="1">
        <v>0</v>
      </c>
      <c r="C77" s="1">
        <v>29</v>
      </c>
    </row>
    <row r="78" spans="1:3" x14ac:dyDescent="0.25">
      <c r="A78" s="4" t="s">
        <v>102</v>
      </c>
      <c r="B78" s="1">
        <v>0</v>
      </c>
      <c r="C78" s="1"/>
    </row>
    <row r="79" spans="1:3" x14ac:dyDescent="0.25">
      <c r="A79" s="4" t="s">
        <v>112</v>
      </c>
      <c r="B79" s="1">
        <v>0</v>
      </c>
      <c r="C79" s="1">
        <v>32</v>
      </c>
    </row>
    <row r="80" spans="1:3" x14ac:dyDescent="0.25">
      <c r="A80" s="4" t="s">
        <v>133</v>
      </c>
      <c r="B80" s="1">
        <v>0</v>
      </c>
      <c r="C80" s="1"/>
    </row>
    <row r="81" spans="1:3" x14ac:dyDescent="0.25">
      <c r="A81" s="4" t="s">
        <v>124</v>
      </c>
      <c r="B81" s="1">
        <v>0</v>
      </c>
      <c r="C81" s="1">
        <v>21</v>
      </c>
    </row>
    <row r="82" spans="1:3" x14ac:dyDescent="0.25">
      <c r="A82" s="4" t="s">
        <v>70</v>
      </c>
      <c r="B82" s="1">
        <v>0</v>
      </c>
      <c r="C82" s="1">
        <v>30</v>
      </c>
    </row>
    <row r="83" spans="1:3" x14ac:dyDescent="0.25">
      <c r="A83" s="4" t="s">
        <v>119</v>
      </c>
      <c r="B83" s="1">
        <v>0</v>
      </c>
      <c r="C83" s="1">
        <v>47</v>
      </c>
    </row>
    <row r="84" spans="1:3" x14ac:dyDescent="0.25">
      <c r="A84" s="4" t="s">
        <v>18</v>
      </c>
      <c r="B84" s="1">
        <v>0</v>
      </c>
      <c r="C84" s="1">
        <v>62</v>
      </c>
    </row>
    <row r="85" spans="1:3" x14ac:dyDescent="0.25">
      <c r="A85" s="4" t="s">
        <v>164</v>
      </c>
      <c r="B85" s="1">
        <v>0</v>
      </c>
      <c r="C85" s="1">
        <v>33</v>
      </c>
    </row>
    <row r="86" spans="1:3" x14ac:dyDescent="0.25">
      <c r="A86" s="4" t="s">
        <v>45</v>
      </c>
      <c r="B86" s="1">
        <v>0</v>
      </c>
      <c r="C86" s="1">
        <v>9</v>
      </c>
    </row>
    <row r="87" spans="1:3" x14ac:dyDescent="0.25">
      <c r="A87" s="4" t="s">
        <v>126</v>
      </c>
      <c r="B87" s="1">
        <v>0</v>
      </c>
      <c r="C87" s="1">
        <v>28.5</v>
      </c>
    </row>
    <row r="88" spans="1:3" x14ac:dyDescent="0.25">
      <c r="A88" s="4" t="s">
        <v>152</v>
      </c>
      <c r="B88" s="1">
        <v>0</v>
      </c>
      <c r="C88" s="1"/>
    </row>
    <row r="89" spans="1:3" x14ac:dyDescent="0.25">
      <c r="A89" s="4" t="s">
        <v>85</v>
      </c>
      <c r="B89" s="1">
        <v>0</v>
      </c>
      <c r="C89" s="1">
        <v>25</v>
      </c>
    </row>
    <row r="90" spans="1:3" x14ac:dyDescent="0.25">
      <c r="A90" s="4" t="s">
        <v>97</v>
      </c>
      <c r="B90" s="1">
        <v>0</v>
      </c>
      <c r="C90" s="1">
        <v>27</v>
      </c>
    </row>
    <row r="91" spans="1:3" x14ac:dyDescent="0.25">
      <c r="A91" s="4" t="s">
        <v>104</v>
      </c>
      <c r="B91" s="1">
        <v>0</v>
      </c>
      <c r="C91" s="1">
        <v>10</v>
      </c>
    </row>
    <row r="92" spans="1:3" x14ac:dyDescent="0.25">
      <c r="A92" s="4" t="s">
        <v>54</v>
      </c>
      <c r="B92" s="1">
        <v>0</v>
      </c>
      <c r="C92" s="1">
        <v>50</v>
      </c>
    </row>
    <row r="93" spans="1:3" x14ac:dyDescent="0.25">
      <c r="A93" s="4" t="s">
        <v>43</v>
      </c>
      <c r="B93" s="1">
        <v>0</v>
      </c>
      <c r="C93" s="1">
        <v>55</v>
      </c>
    </row>
    <row r="94" spans="1:3" x14ac:dyDescent="0.25">
      <c r="A94" s="4" t="s">
        <v>115</v>
      </c>
      <c r="B94" s="1">
        <v>0</v>
      </c>
      <c r="C94" s="1">
        <v>13</v>
      </c>
    </row>
    <row r="95" spans="1:3" x14ac:dyDescent="0.25">
      <c r="A95" s="4" t="s">
        <v>61</v>
      </c>
      <c r="B95" s="1">
        <v>0</v>
      </c>
      <c r="C95" s="1"/>
    </row>
    <row r="96" spans="1:3" x14ac:dyDescent="0.25">
      <c r="A96" s="4" t="s">
        <v>75</v>
      </c>
      <c r="B96" s="1">
        <v>0</v>
      </c>
      <c r="C96" s="1">
        <v>25</v>
      </c>
    </row>
    <row r="97" spans="1:3" x14ac:dyDescent="0.25">
      <c r="A97" s="4" t="s">
        <v>90</v>
      </c>
      <c r="B97" s="1">
        <v>0</v>
      </c>
      <c r="C97" s="1"/>
    </row>
    <row r="98" spans="1:3" x14ac:dyDescent="0.25">
      <c r="A98" s="4" t="s">
        <v>95</v>
      </c>
      <c r="B98" s="1">
        <v>0</v>
      </c>
      <c r="C98" s="1">
        <v>24</v>
      </c>
    </row>
    <row r="99" spans="1:3" x14ac:dyDescent="0.25">
      <c r="A99" s="4" t="s">
        <v>139</v>
      </c>
      <c r="B99" s="1">
        <v>0</v>
      </c>
      <c r="C99" s="1">
        <v>67</v>
      </c>
    </row>
    <row r="100" spans="1:3" x14ac:dyDescent="0.25">
      <c r="A100" s="4" t="s">
        <v>21</v>
      </c>
      <c r="B100" s="1">
        <v>0</v>
      </c>
      <c r="C100" s="1">
        <v>14</v>
      </c>
    </row>
    <row r="101" spans="1:3" x14ac:dyDescent="0.25">
      <c r="A101" s="4" t="s">
        <v>158</v>
      </c>
      <c r="B101" s="1">
        <v>0</v>
      </c>
      <c r="C101" s="1">
        <v>25</v>
      </c>
    </row>
    <row r="102" spans="1:3" x14ac:dyDescent="0.25">
      <c r="A102" s="4" t="s">
        <v>120</v>
      </c>
      <c r="B102" s="1">
        <v>0</v>
      </c>
      <c r="C102" s="1">
        <v>31</v>
      </c>
    </row>
    <row r="103" spans="1:3" x14ac:dyDescent="0.25">
      <c r="A103" s="4" t="s">
        <v>150</v>
      </c>
      <c r="B103" s="1">
        <v>0</v>
      </c>
      <c r="C103" s="1">
        <v>2</v>
      </c>
    </row>
    <row r="104" spans="1:3" x14ac:dyDescent="0.25">
      <c r="A104" s="4" t="s">
        <v>49</v>
      </c>
      <c r="B104" s="1">
        <v>0</v>
      </c>
      <c r="C104" s="1">
        <v>21</v>
      </c>
    </row>
    <row r="105" spans="1:3" x14ac:dyDescent="0.25">
      <c r="A105" s="4" t="s">
        <v>19</v>
      </c>
      <c r="B105" s="1">
        <v>0</v>
      </c>
      <c r="C105" s="1">
        <v>27</v>
      </c>
    </row>
    <row r="106" spans="1:3" x14ac:dyDescent="0.25">
      <c r="A106" s="3" t="s">
        <v>167</v>
      </c>
      <c r="B106" s="1">
        <v>39</v>
      </c>
      <c r="C106" s="1">
        <v>2591.5</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G37" sqref="G37"/>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1"/>
  <sheetViews>
    <sheetView workbookViewId="0">
      <selection activeCell="J12" sqref="J12"/>
    </sheetView>
  </sheetViews>
  <sheetFormatPr defaultRowHeight="15" x14ac:dyDescent="0.25"/>
  <cols>
    <col min="1" max="1" width="13.28515625" bestFit="1" customWidth="1"/>
    <col min="2" max="2" width="10.5703125" bestFit="1" customWidth="1"/>
    <col min="3" max="3" width="17.7109375" bestFit="1" customWidth="1"/>
    <col min="4" max="4" width="49.5703125" bestFit="1" customWidth="1"/>
    <col min="5" max="5" width="6.7109375" bestFit="1" customWidth="1"/>
    <col min="6" max="6" width="6.42578125" bestFit="1" customWidth="1"/>
    <col min="7" max="7" width="8.7109375" bestFit="1" customWidth="1"/>
    <col min="8" max="8" width="14.7109375" bestFit="1" customWidth="1"/>
    <col min="9" max="9" width="19.140625" bestFit="1" customWidth="1"/>
    <col min="10" max="10" width="9" bestFit="1" customWidth="1"/>
    <col min="11" max="11" width="14.85546875" bestFit="1" customWidth="1"/>
    <col min="12" max="12" width="11.7109375" bestFit="1" customWidth="1"/>
  </cols>
  <sheetData>
    <row r="1" spans="1:12" x14ac:dyDescent="0.25">
      <c r="A1" t="s">
        <v>0</v>
      </c>
      <c r="B1" t="s">
        <v>1</v>
      </c>
      <c r="C1" t="s">
        <v>173</v>
      </c>
      <c r="D1" t="s">
        <v>3</v>
      </c>
      <c r="E1" t="s">
        <v>4</v>
      </c>
      <c r="F1" t="s">
        <v>5</v>
      </c>
      <c r="G1" t="s">
        <v>171</v>
      </c>
      <c r="H1" t="s">
        <v>170</v>
      </c>
      <c r="I1" t="s">
        <v>8</v>
      </c>
      <c r="J1" t="s">
        <v>9</v>
      </c>
      <c r="K1" t="s">
        <v>10</v>
      </c>
      <c r="L1" t="s">
        <v>11</v>
      </c>
    </row>
    <row r="2" spans="1:12" x14ac:dyDescent="0.25">
      <c r="A2">
        <v>892</v>
      </c>
      <c r="B2">
        <v>0</v>
      </c>
      <c r="C2">
        <v>3</v>
      </c>
      <c r="D2" t="s">
        <v>12</v>
      </c>
      <c r="E2" t="s">
        <v>13</v>
      </c>
      <c r="F2">
        <v>34.5</v>
      </c>
      <c r="G2">
        <v>0</v>
      </c>
      <c r="H2">
        <v>0</v>
      </c>
      <c r="I2">
        <v>330911</v>
      </c>
      <c r="J2">
        <v>7.8292000000000002</v>
      </c>
      <c r="L2" t="s">
        <v>14</v>
      </c>
    </row>
    <row r="3" spans="1:12" x14ac:dyDescent="0.25">
      <c r="A3">
        <v>893</v>
      </c>
      <c r="B3">
        <v>1</v>
      </c>
      <c r="C3">
        <v>3</v>
      </c>
      <c r="D3" t="s">
        <v>15</v>
      </c>
      <c r="E3" t="s">
        <v>16</v>
      </c>
      <c r="F3">
        <v>47</v>
      </c>
      <c r="G3">
        <v>1</v>
      </c>
      <c r="H3">
        <v>0</v>
      </c>
      <c r="I3">
        <v>363272</v>
      </c>
      <c r="J3">
        <v>7</v>
      </c>
      <c r="L3" t="s">
        <v>17</v>
      </c>
    </row>
    <row r="4" spans="1:12" x14ac:dyDescent="0.25">
      <c r="A4">
        <v>894</v>
      </c>
      <c r="B4">
        <v>0</v>
      </c>
      <c r="C4">
        <v>2</v>
      </c>
      <c r="D4" t="s">
        <v>18</v>
      </c>
      <c r="E4" t="s">
        <v>13</v>
      </c>
      <c r="F4">
        <v>62</v>
      </c>
      <c r="G4">
        <v>0</v>
      </c>
      <c r="H4">
        <v>0</v>
      </c>
      <c r="I4">
        <v>240276</v>
      </c>
      <c r="J4">
        <v>9.6875</v>
      </c>
      <c r="L4" t="s">
        <v>14</v>
      </c>
    </row>
    <row r="5" spans="1:12" x14ac:dyDescent="0.25">
      <c r="A5">
        <v>895</v>
      </c>
      <c r="B5">
        <v>0</v>
      </c>
      <c r="C5">
        <v>3</v>
      </c>
      <c r="D5" t="s">
        <v>19</v>
      </c>
      <c r="E5" t="s">
        <v>13</v>
      </c>
      <c r="F5">
        <v>27</v>
      </c>
      <c r="G5">
        <v>0</v>
      </c>
      <c r="H5">
        <v>0</v>
      </c>
      <c r="I5">
        <v>315154</v>
      </c>
      <c r="J5">
        <v>8.6624999999999996</v>
      </c>
      <c r="L5" t="s">
        <v>17</v>
      </c>
    </row>
    <row r="6" spans="1:12" x14ac:dyDescent="0.25">
      <c r="A6">
        <v>896</v>
      </c>
      <c r="B6">
        <v>1</v>
      </c>
      <c r="C6">
        <v>3</v>
      </c>
      <c r="D6" t="s">
        <v>20</v>
      </c>
      <c r="E6" t="s">
        <v>16</v>
      </c>
      <c r="F6">
        <v>22</v>
      </c>
      <c r="G6">
        <v>1</v>
      </c>
      <c r="H6">
        <v>1</v>
      </c>
      <c r="I6">
        <v>3101298</v>
      </c>
      <c r="J6">
        <v>12.2875</v>
      </c>
      <c r="L6" t="s">
        <v>17</v>
      </c>
    </row>
    <row r="7" spans="1:12" x14ac:dyDescent="0.25">
      <c r="A7">
        <v>897</v>
      </c>
      <c r="B7">
        <v>0</v>
      </c>
      <c r="C7">
        <v>3</v>
      </c>
      <c r="D7" t="s">
        <v>21</v>
      </c>
      <c r="E7" t="s">
        <v>13</v>
      </c>
      <c r="F7">
        <v>14</v>
      </c>
      <c r="G7">
        <v>0</v>
      </c>
      <c r="H7">
        <v>0</v>
      </c>
      <c r="I7">
        <v>7538</v>
      </c>
      <c r="J7">
        <v>9.2249999999999996</v>
      </c>
      <c r="L7" t="s">
        <v>17</v>
      </c>
    </row>
    <row r="8" spans="1:12" x14ac:dyDescent="0.25">
      <c r="A8">
        <v>898</v>
      </c>
      <c r="B8">
        <v>1</v>
      </c>
      <c r="C8">
        <v>3</v>
      </c>
      <c r="D8" t="s">
        <v>22</v>
      </c>
      <c r="E8" t="s">
        <v>16</v>
      </c>
      <c r="F8">
        <v>30</v>
      </c>
      <c r="G8">
        <v>0</v>
      </c>
      <c r="H8">
        <v>0</v>
      </c>
      <c r="I8">
        <v>330972</v>
      </c>
      <c r="J8">
        <v>7.6292</v>
      </c>
      <c r="L8" t="s">
        <v>14</v>
      </c>
    </row>
    <row r="9" spans="1:12" x14ac:dyDescent="0.25">
      <c r="A9">
        <v>899</v>
      </c>
      <c r="B9">
        <v>0</v>
      </c>
      <c r="C9">
        <v>2</v>
      </c>
      <c r="D9" t="s">
        <v>23</v>
      </c>
      <c r="E9" t="s">
        <v>13</v>
      </c>
      <c r="F9">
        <v>26</v>
      </c>
      <c r="G9">
        <v>1</v>
      </c>
      <c r="H9">
        <v>1</v>
      </c>
      <c r="I9">
        <v>248738</v>
      </c>
      <c r="J9">
        <v>29</v>
      </c>
      <c r="L9" t="s">
        <v>17</v>
      </c>
    </row>
    <row r="10" spans="1:12" x14ac:dyDescent="0.25">
      <c r="A10">
        <v>900</v>
      </c>
      <c r="B10">
        <v>1</v>
      </c>
      <c r="C10">
        <v>3</v>
      </c>
      <c r="D10" t="s">
        <v>24</v>
      </c>
      <c r="E10" t="s">
        <v>16</v>
      </c>
      <c r="F10">
        <v>18</v>
      </c>
      <c r="G10">
        <v>0</v>
      </c>
      <c r="H10">
        <v>0</v>
      </c>
      <c r="I10">
        <v>2657</v>
      </c>
      <c r="J10">
        <v>7.2291999999999996</v>
      </c>
      <c r="L10" t="s">
        <v>25</v>
      </c>
    </row>
    <row r="11" spans="1:12" x14ac:dyDescent="0.25">
      <c r="A11">
        <v>901</v>
      </c>
      <c r="B11">
        <v>0</v>
      </c>
      <c r="C11">
        <v>3</v>
      </c>
      <c r="D11" t="s">
        <v>26</v>
      </c>
      <c r="E11" t="s">
        <v>13</v>
      </c>
      <c r="F11">
        <v>21</v>
      </c>
      <c r="G11">
        <v>2</v>
      </c>
      <c r="H11">
        <v>0</v>
      </c>
      <c r="I11" t="s">
        <v>27</v>
      </c>
      <c r="J11">
        <v>24.15</v>
      </c>
      <c r="L11" t="s">
        <v>17</v>
      </c>
    </row>
    <row r="12" spans="1:12" x14ac:dyDescent="0.25">
      <c r="A12">
        <v>902</v>
      </c>
      <c r="B12">
        <v>0</v>
      </c>
      <c r="C12">
        <v>3</v>
      </c>
      <c r="D12" t="s">
        <v>28</v>
      </c>
      <c r="E12" t="s">
        <v>13</v>
      </c>
      <c r="G12">
        <v>0</v>
      </c>
      <c r="H12">
        <v>0</v>
      </c>
      <c r="I12">
        <v>349220</v>
      </c>
      <c r="J12">
        <v>7.8958000000000004</v>
      </c>
      <c r="L12" t="s">
        <v>17</v>
      </c>
    </row>
    <row r="13" spans="1:12" x14ac:dyDescent="0.25">
      <c r="A13">
        <v>903</v>
      </c>
      <c r="B13">
        <v>0</v>
      </c>
      <c r="C13">
        <v>1</v>
      </c>
      <c r="D13" t="s">
        <v>29</v>
      </c>
      <c r="E13" t="s">
        <v>13</v>
      </c>
      <c r="F13">
        <v>46</v>
      </c>
      <c r="G13">
        <v>0</v>
      </c>
      <c r="H13">
        <v>0</v>
      </c>
      <c r="I13">
        <v>694</v>
      </c>
      <c r="J13">
        <v>26</v>
      </c>
      <c r="L13" t="s">
        <v>17</v>
      </c>
    </row>
    <row r="14" spans="1:12" x14ac:dyDescent="0.25">
      <c r="A14">
        <v>904</v>
      </c>
      <c r="B14">
        <v>1</v>
      </c>
      <c r="C14">
        <v>1</v>
      </c>
      <c r="D14" t="s">
        <v>30</v>
      </c>
      <c r="E14" t="s">
        <v>16</v>
      </c>
      <c r="F14">
        <v>23</v>
      </c>
      <c r="G14">
        <v>1</v>
      </c>
      <c r="H14">
        <v>0</v>
      </c>
      <c r="I14">
        <v>21228</v>
      </c>
      <c r="J14">
        <v>82.2667</v>
      </c>
      <c r="K14" t="s">
        <v>31</v>
      </c>
      <c r="L14" t="s">
        <v>17</v>
      </c>
    </row>
    <row r="15" spans="1:12" x14ac:dyDescent="0.25">
      <c r="A15">
        <v>905</v>
      </c>
      <c r="B15">
        <v>0</v>
      </c>
      <c r="C15">
        <v>2</v>
      </c>
      <c r="D15" t="s">
        <v>32</v>
      </c>
      <c r="E15" t="s">
        <v>13</v>
      </c>
      <c r="F15">
        <v>63</v>
      </c>
      <c r="G15">
        <v>1</v>
      </c>
      <c r="H15">
        <v>0</v>
      </c>
      <c r="I15">
        <v>24065</v>
      </c>
      <c r="J15">
        <v>26</v>
      </c>
      <c r="L15" t="s">
        <v>17</v>
      </c>
    </row>
    <row r="16" spans="1:12" x14ac:dyDescent="0.25">
      <c r="A16">
        <v>906</v>
      </c>
      <c r="B16">
        <v>1</v>
      </c>
      <c r="C16">
        <v>1</v>
      </c>
      <c r="D16" t="s">
        <v>33</v>
      </c>
      <c r="E16" t="s">
        <v>16</v>
      </c>
      <c r="F16">
        <v>47</v>
      </c>
      <c r="G16">
        <v>1</v>
      </c>
      <c r="H16">
        <v>0</v>
      </c>
      <c r="I16" t="s">
        <v>34</v>
      </c>
      <c r="J16">
        <v>61.174999999999997</v>
      </c>
      <c r="K16" t="s">
        <v>35</v>
      </c>
      <c r="L16" t="s">
        <v>17</v>
      </c>
    </row>
    <row r="17" spans="1:12" x14ac:dyDescent="0.25">
      <c r="A17">
        <v>907</v>
      </c>
      <c r="B17">
        <v>1</v>
      </c>
      <c r="C17">
        <v>2</v>
      </c>
      <c r="D17" t="s">
        <v>36</v>
      </c>
      <c r="E17" t="s">
        <v>16</v>
      </c>
      <c r="F17">
        <v>24</v>
      </c>
      <c r="G17">
        <v>1</v>
      </c>
      <c r="H17">
        <v>0</v>
      </c>
      <c r="I17" t="s">
        <v>37</v>
      </c>
      <c r="J17">
        <v>27.720800000000001</v>
      </c>
      <c r="L17" t="s">
        <v>25</v>
      </c>
    </row>
    <row r="18" spans="1:12" x14ac:dyDescent="0.25">
      <c r="A18">
        <v>908</v>
      </c>
      <c r="B18">
        <v>0</v>
      </c>
      <c r="C18">
        <v>2</v>
      </c>
      <c r="D18" t="s">
        <v>38</v>
      </c>
      <c r="E18" t="s">
        <v>13</v>
      </c>
      <c r="F18">
        <v>35</v>
      </c>
      <c r="G18">
        <v>0</v>
      </c>
      <c r="H18">
        <v>0</v>
      </c>
      <c r="I18">
        <v>233734</v>
      </c>
      <c r="J18">
        <v>12.35</v>
      </c>
      <c r="L18" t="s">
        <v>14</v>
      </c>
    </row>
    <row r="19" spans="1:12" x14ac:dyDescent="0.25">
      <c r="A19">
        <v>909</v>
      </c>
      <c r="B19">
        <v>0</v>
      </c>
      <c r="C19">
        <v>3</v>
      </c>
      <c r="D19" t="s">
        <v>39</v>
      </c>
      <c r="E19" t="s">
        <v>13</v>
      </c>
      <c r="F19">
        <v>21</v>
      </c>
      <c r="G19">
        <v>0</v>
      </c>
      <c r="H19">
        <v>0</v>
      </c>
      <c r="I19">
        <v>2692</v>
      </c>
      <c r="J19">
        <v>7.2249999999999996</v>
      </c>
      <c r="L19" t="s">
        <v>25</v>
      </c>
    </row>
    <row r="20" spans="1:12" x14ac:dyDescent="0.25">
      <c r="A20">
        <v>910</v>
      </c>
      <c r="B20">
        <v>1</v>
      </c>
      <c r="C20">
        <v>3</v>
      </c>
      <c r="D20" t="s">
        <v>40</v>
      </c>
      <c r="E20" t="s">
        <v>16</v>
      </c>
      <c r="F20">
        <v>27</v>
      </c>
      <c r="G20">
        <v>1</v>
      </c>
      <c r="H20">
        <v>0</v>
      </c>
      <c r="I20" t="s">
        <v>41</v>
      </c>
      <c r="J20">
        <v>7.9249999999999998</v>
      </c>
      <c r="L20" t="s">
        <v>17</v>
      </c>
    </row>
    <row r="21" spans="1:12" x14ac:dyDescent="0.25">
      <c r="A21">
        <v>911</v>
      </c>
      <c r="B21">
        <v>1</v>
      </c>
      <c r="C21">
        <v>3</v>
      </c>
      <c r="D21" t="s">
        <v>42</v>
      </c>
      <c r="E21" t="s">
        <v>16</v>
      </c>
      <c r="F21">
        <v>45</v>
      </c>
      <c r="G21">
        <v>0</v>
      </c>
      <c r="H21">
        <v>0</v>
      </c>
      <c r="I21">
        <v>2696</v>
      </c>
      <c r="J21">
        <v>7.2249999999999996</v>
      </c>
      <c r="L21" t="s">
        <v>25</v>
      </c>
    </row>
    <row r="22" spans="1:12" x14ac:dyDescent="0.25">
      <c r="A22">
        <v>912</v>
      </c>
      <c r="B22">
        <v>0</v>
      </c>
      <c r="C22">
        <v>1</v>
      </c>
      <c r="D22" t="s">
        <v>43</v>
      </c>
      <c r="E22" t="s">
        <v>13</v>
      </c>
      <c r="F22">
        <v>55</v>
      </c>
      <c r="G22">
        <v>1</v>
      </c>
      <c r="H22">
        <v>0</v>
      </c>
      <c r="I22" t="s">
        <v>44</v>
      </c>
      <c r="J22">
        <v>59.4</v>
      </c>
      <c r="L22" t="s">
        <v>25</v>
      </c>
    </row>
    <row r="23" spans="1:12" x14ac:dyDescent="0.25">
      <c r="A23">
        <v>913</v>
      </c>
      <c r="B23">
        <v>0</v>
      </c>
      <c r="C23">
        <v>3</v>
      </c>
      <c r="D23" t="s">
        <v>45</v>
      </c>
      <c r="E23" t="s">
        <v>13</v>
      </c>
      <c r="F23">
        <v>9</v>
      </c>
      <c r="G23">
        <v>0</v>
      </c>
      <c r="H23">
        <v>1</v>
      </c>
      <c r="I23" t="s">
        <v>46</v>
      </c>
      <c r="J23">
        <v>3.1707999999999998</v>
      </c>
      <c r="L23" t="s">
        <v>17</v>
      </c>
    </row>
    <row r="24" spans="1:12" x14ac:dyDescent="0.25">
      <c r="A24">
        <v>914</v>
      </c>
      <c r="B24">
        <v>1</v>
      </c>
      <c r="C24">
        <v>1</v>
      </c>
      <c r="D24" t="s">
        <v>47</v>
      </c>
      <c r="E24" t="s">
        <v>16</v>
      </c>
      <c r="G24">
        <v>0</v>
      </c>
      <c r="H24">
        <v>0</v>
      </c>
      <c r="I24" t="s">
        <v>48</v>
      </c>
      <c r="J24">
        <v>31.683299999999999</v>
      </c>
      <c r="L24" t="s">
        <v>17</v>
      </c>
    </row>
    <row r="25" spans="1:12" x14ac:dyDescent="0.25">
      <c r="A25">
        <v>915</v>
      </c>
      <c r="B25">
        <v>0</v>
      </c>
      <c r="C25">
        <v>1</v>
      </c>
      <c r="D25" t="s">
        <v>49</v>
      </c>
      <c r="E25" t="s">
        <v>13</v>
      </c>
      <c r="F25">
        <v>21</v>
      </c>
      <c r="G25">
        <v>0</v>
      </c>
      <c r="H25">
        <v>1</v>
      </c>
      <c r="I25" t="s">
        <v>50</v>
      </c>
      <c r="J25">
        <v>61.379199999999997</v>
      </c>
      <c r="L25" t="s">
        <v>25</v>
      </c>
    </row>
    <row r="26" spans="1:12" x14ac:dyDescent="0.25">
      <c r="A26">
        <v>916</v>
      </c>
      <c r="B26">
        <v>1</v>
      </c>
      <c r="C26">
        <v>1</v>
      </c>
      <c r="D26" t="s">
        <v>51</v>
      </c>
      <c r="E26" t="s">
        <v>16</v>
      </c>
      <c r="F26">
        <v>48</v>
      </c>
      <c r="G26">
        <v>1</v>
      </c>
      <c r="H26">
        <v>3</v>
      </c>
      <c r="I26" t="s">
        <v>52</v>
      </c>
      <c r="J26">
        <v>262.375</v>
      </c>
      <c r="K26" t="s">
        <v>53</v>
      </c>
      <c r="L26" t="s">
        <v>25</v>
      </c>
    </row>
    <row r="27" spans="1:12" x14ac:dyDescent="0.25">
      <c r="A27">
        <v>917</v>
      </c>
      <c r="B27">
        <v>0</v>
      </c>
      <c r="C27">
        <v>3</v>
      </c>
      <c r="D27" t="s">
        <v>54</v>
      </c>
      <c r="E27" t="s">
        <v>13</v>
      </c>
      <c r="F27">
        <v>50</v>
      </c>
      <c r="G27">
        <v>1</v>
      </c>
      <c r="H27">
        <v>0</v>
      </c>
      <c r="I27" t="s">
        <v>55</v>
      </c>
      <c r="J27">
        <v>14.5</v>
      </c>
      <c r="L27" t="s">
        <v>17</v>
      </c>
    </row>
    <row r="28" spans="1:12" x14ac:dyDescent="0.25">
      <c r="A28">
        <v>918</v>
      </c>
      <c r="B28">
        <v>1</v>
      </c>
      <c r="C28">
        <v>1</v>
      </c>
      <c r="D28" t="s">
        <v>56</v>
      </c>
      <c r="E28" t="s">
        <v>16</v>
      </c>
      <c r="F28">
        <v>22</v>
      </c>
      <c r="G28">
        <v>0</v>
      </c>
      <c r="H28">
        <v>1</v>
      </c>
      <c r="I28">
        <v>113509</v>
      </c>
      <c r="J28">
        <v>61.979199999999999</v>
      </c>
      <c r="K28" t="s">
        <v>57</v>
      </c>
      <c r="L28" t="s">
        <v>25</v>
      </c>
    </row>
    <row r="29" spans="1:12" x14ac:dyDescent="0.25">
      <c r="A29">
        <v>919</v>
      </c>
      <c r="B29">
        <v>0</v>
      </c>
      <c r="C29">
        <v>3</v>
      </c>
      <c r="D29" t="s">
        <v>58</v>
      </c>
      <c r="E29" t="s">
        <v>13</v>
      </c>
      <c r="F29">
        <v>22.5</v>
      </c>
      <c r="G29">
        <v>0</v>
      </c>
      <c r="H29">
        <v>0</v>
      </c>
      <c r="I29">
        <v>2698</v>
      </c>
      <c r="J29">
        <v>7.2249999999999996</v>
      </c>
      <c r="L29" t="s">
        <v>25</v>
      </c>
    </row>
    <row r="30" spans="1:12" x14ac:dyDescent="0.25">
      <c r="A30">
        <v>920</v>
      </c>
      <c r="B30">
        <v>0</v>
      </c>
      <c r="C30">
        <v>1</v>
      </c>
      <c r="D30" t="s">
        <v>59</v>
      </c>
      <c r="E30" t="s">
        <v>13</v>
      </c>
      <c r="F30">
        <v>41</v>
      </c>
      <c r="G30">
        <v>0</v>
      </c>
      <c r="H30">
        <v>0</v>
      </c>
      <c r="I30">
        <v>113054</v>
      </c>
      <c r="J30">
        <v>30.5</v>
      </c>
      <c r="K30" t="s">
        <v>60</v>
      </c>
      <c r="L30" t="s">
        <v>17</v>
      </c>
    </row>
    <row r="31" spans="1:12" x14ac:dyDescent="0.25">
      <c r="A31">
        <v>921</v>
      </c>
      <c r="B31">
        <v>0</v>
      </c>
      <c r="C31">
        <v>3</v>
      </c>
      <c r="D31" t="s">
        <v>61</v>
      </c>
      <c r="E31" t="s">
        <v>13</v>
      </c>
      <c r="G31">
        <v>2</v>
      </c>
      <c r="H31">
        <v>0</v>
      </c>
      <c r="I31">
        <v>2662</v>
      </c>
      <c r="J31">
        <v>21.679200000000002</v>
      </c>
      <c r="L31" t="s">
        <v>25</v>
      </c>
    </row>
    <row r="32" spans="1:12" x14ac:dyDescent="0.25">
      <c r="A32">
        <v>922</v>
      </c>
      <c r="B32">
        <v>0</v>
      </c>
      <c r="C32">
        <v>2</v>
      </c>
      <c r="D32" t="s">
        <v>62</v>
      </c>
      <c r="E32" t="s">
        <v>13</v>
      </c>
      <c r="F32">
        <v>50</v>
      </c>
      <c r="G32">
        <v>1</v>
      </c>
      <c r="H32">
        <v>0</v>
      </c>
      <c r="I32" t="s">
        <v>63</v>
      </c>
      <c r="J32">
        <v>26</v>
      </c>
      <c r="L32" t="s">
        <v>17</v>
      </c>
    </row>
    <row r="33" spans="1:12" x14ac:dyDescent="0.25">
      <c r="A33">
        <v>923</v>
      </c>
      <c r="B33">
        <v>0</v>
      </c>
      <c r="C33">
        <v>2</v>
      </c>
      <c r="D33" t="s">
        <v>64</v>
      </c>
      <c r="E33" t="s">
        <v>13</v>
      </c>
      <c r="F33">
        <v>24</v>
      </c>
      <c r="G33">
        <v>2</v>
      </c>
      <c r="H33">
        <v>0</v>
      </c>
      <c r="I33" t="s">
        <v>65</v>
      </c>
      <c r="J33">
        <v>31.5</v>
      </c>
      <c r="L33" t="s">
        <v>17</v>
      </c>
    </row>
    <row r="34" spans="1:12" x14ac:dyDescent="0.25">
      <c r="A34">
        <v>924</v>
      </c>
      <c r="B34">
        <v>1</v>
      </c>
      <c r="C34">
        <v>3</v>
      </c>
      <c r="D34" t="s">
        <v>66</v>
      </c>
      <c r="E34" t="s">
        <v>16</v>
      </c>
      <c r="F34">
        <v>33</v>
      </c>
      <c r="G34">
        <v>1</v>
      </c>
      <c r="H34">
        <v>2</v>
      </c>
      <c r="I34" t="s">
        <v>67</v>
      </c>
      <c r="J34">
        <v>20.574999999999999</v>
      </c>
      <c r="L34" t="s">
        <v>17</v>
      </c>
    </row>
    <row r="35" spans="1:12" x14ac:dyDescent="0.25">
      <c r="A35">
        <v>925</v>
      </c>
      <c r="B35">
        <v>1</v>
      </c>
      <c r="C35">
        <v>3</v>
      </c>
      <c r="D35" t="s">
        <v>68</v>
      </c>
      <c r="E35" t="s">
        <v>16</v>
      </c>
      <c r="G35">
        <v>1</v>
      </c>
      <c r="H35">
        <v>2</v>
      </c>
      <c r="I35" t="s">
        <v>69</v>
      </c>
      <c r="J35">
        <v>23.45</v>
      </c>
      <c r="L35" t="s">
        <v>17</v>
      </c>
    </row>
    <row r="36" spans="1:12" x14ac:dyDescent="0.25">
      <c r="A36">
        <v>926</v>
      </c>
      <c r="B36">
        <v>0</v>
      </c>
      <c r="C36">
        <v>1</v>
      </c>
      <c r="D36" t="s">
        <v>70</v>
      </c>
      <c r="E36" t="s">
        <v>13</v>
      </c>
      <c r="F36">
        <v>30</v>
      </c>
      <c r="G36">
        <v>1</v>
      </c>
      <c r="H36">
        <v>0</v>
      </c>
      <c r="I36">
        <v>13236</v>
      </c>
      <c r="J36">
        <v>57.75</v>
      </c>
      <c r="K36" t="s">
        <v>71</v>
      </c>
      <c r="L36" t="s">
        <v>25</v>
      </c>
    </row>
    <row r="37" spans="1:12" x14ac:dyDescent="0.25">
      <c r="A37">
        <v>927</v>
      </c>
      <c r="B37">
        <v>0</v>
      </c>
      <c r="C37">
        <v>3</v>
      </c>
      <c r="D37" t="s">
        <v>72</v>
      </c>
      <c r="E37" t="s">
        <v>13</v>
      </c>
      <c r="F37">
        <v>18.5</v>
      </c>
      <c r="G37">
        <v>0</v>
      </c>
      <c r="H37">
        <v>0</v>
      </c>
      <c r="I37">
        <v>2682</v>
      </c>
      <c r="J37">
        <v>7.2291999999999996</v>
      </c>
      <c r="L37" t="s">
        <v>25</v>
      </c>
    </row>
    <row r="38" spans="1:12" x14ac:dyDescent="0.25">
      <c r="A38">
        <v>928</v>
      </c>
      <c r="B38">
        <v>1</v>
      </c>
      <c r="C38">
        <v>3</v>
      </c>
      <c r="D38" t="s">
        <v>73</v>
      </c>
      <c r="E38" t="s">
        <v>16</v>
      </c>
      <c r="G38">
        <v>0</v>
      </c>
      <c r="H38">
        <v>0</v>
      </c>
      <c r="I38">
        <v>342712</v>
      </c>
      <c r="J38">
        <v>8.0500000000000007</v>
      </c>
      <c r="L38" t="s">
        <v>17</v>
      </c>
    </row>
    <row r="39" spans="1:12" x14ac:dyDescent="0.25">
      <c r="A39">
        <v>929</v>
      </c>
      <c r="B39">
        <v>1</v>
      </c>
      <c r="C39">
        <v>3</v>
      </c>
      <c r="D39" t="s">
        <v>74</v>
      </c>
      <c r="E39" t="s">
        <v>16</v>
      </c>
      <c r="F39">
        <v>21</v>
      </c>
      <c r="G39">
        <v>0</v>
      </c>
      <c r="H39">
        <v>0</v>
      </c>
      <c r="I39">
        <v>315087</v>
      </c>
      <c r="J39">
        <v>8.6624999999999996</v>
      </c>
      <c r="L39" t="s">
        <v>17</v>
      </c>
    </row>
    <row r="40" spans="1:12" x14ac:dyDescent="0.25">
      <c r="A40">
        <v>930</v>
      </c>
      <c r="B40">
        <v>0</v>
      </c>
      <c r="C40">
        <v>3</v>
      </c>
      <c r="D40" t="s">
        <v>75</v>
      </c>
      <c r="E40" t="s">
        <v>13</v>
      </c>
      <c r="F40">
        <v>25</v>
      </c>
      <c r="G40">
        <v>0</v>
      </c>
      <c r="H40">
        <v>0</v>
      </c>
      <c r="I40">
        <v>345768</v>
      </c>
      <c r="J40">
        <v>9.5</v>
      </c>
      <c r="L40" t="s">
        <v>17</v>
      </c>
    </row>
    <row r="41" spans="1:12" x14ac:dyDescent="0.25">
      <c r="A41">
        <v>931</v>
      </c>
      <c r="B41">
        <v>0</v>
      </c>
      <c r="C41">
        <v>3</v>
      </c>
      <c r="D41" t="s">
        <v>76</v>
      </c>
      <c r="E41" t="s">
        <v>13</v>
      </c>
      <c r="G41">
        <v>0</v>
      </c>
      <c r="H41">
        <v>0</v>
      </c>
      <c r="I41">
        <v>1601</v>
      </c>
      <c r="J41">
        <v>56.495800000000003</v>
      </c>
      <c r="L41" t="s">
        <v>17</v>
      </c>
    </row>
    <row r="42" spans="1:12" x14ac:dyDescent="0.25">
      <c r="A42">
        <v>932</v>
      </c>
      <c r="B42">
        <v>0</v>
      </c>
      <c r="C42">
        <v>3</v>
      </c>
      <c r="D42" t="s">
        <v>77</v>
      </c>
      <c r="E42" t="s">
        <v>13</v>
      </c>
      <c r="F42">
        <v>39</v>
      </c>
      <c r="G42">
        <v>0</v>
      </c>
      <c r="H42">
        <v>1</v>
      </c>
      <c r="I42">
        <v>349256</v>
      </c>
      <c r="J42">
        <v>13.416700000000001</v>
      </c>
      <c r="L42" t="s">
        <v>25</v>
      </c>
    </row>
    <row r="43" spans="1:12" x14ac:dyDescent="0.25">
      <c r="A43">
        <v>933</v>
      </c>
      <c r="B43">
        <v>0</v>
      </c>
      <c r="C43">
        <v>1</v>
      </c>
      <c r="D43" t="s">
        <v>78</v>
      </c>
      <c r="E43" t="s">
        <v>13</v>
      </c>
      <c r="G43">
        <v>0</v>
      </c>
      <c r="H43">
        <v>0</v>
      </c>
      <c r="I43">
        <v>113778</v>
      </c>
      <c r="J43">
        <v>26.55</v>
      </c>
      <c r="K43" t="s">
        <v>79</v>
      </c>
      <c r="L43" t="s">
        <v>17</v>
      </c>
    </row>
    <row r="44" spans="1:12" x14ac:dyDescent="0.25">
      <c r="A44">
        <v>934</v>
      </c>
      <c r="B44">
        <v>0</v>
      </c>
      <c r="C44">
        <v>3</v>
      </c>
      <c r="D44" t="s">
        <v>80</v>
      </c>
      <c r="E44" t="s">
        <v>13</v>
      </c>
      <c r="F44">
        <v>41</v>
      </c>
      <c r="G44">
        <v>0</v>
      </c>
      <c r="H44">
        <v>0</v>
      </c>
      <c r="I44" t="s">
        <v>81</v>
      </c>
      <c r="J44">
        <v>7.85</v>
      </c>
      <c r="L44" t="s">
        <v>17</v>
      </c>
    </row>
    <row r="45" spans="1:12" x14ac:dyDescent="0.25">
      <c r="A45">
        <v>935</v>
      </c>
      <c r="B45">
        <v>1</v>
      </c>
      <c r="C45">
        <v>2</v>
      </c>
      <c r="D45" t="s">
        <v>82</v>
      </c>
      <c r="E45" t="s">
        <v>16</v>
      </c>
      <c r="F45">
        <v>30</v>
      </c>
      <c r="G45">
        <v>0</v>
      </c>
      <c r="H45">
        <v>0</v>
      </c>
      <c r="I45">
        <v>237249</v>
      </c>
      <c r="J45">
        <v>13</v>
      </c>
      <c r="L45" t="s">
        <v>17</v>
      </c>
    </row>
    <row r="46" spans="1:12" x14ac:dyDescent="0.25">
      <c r="A46">
        <v>936</v>
      </c>
      <c r="B46">
        <v>1</v>
      </c>
      <c r="C46">
        <v>1</v>
      </c>
      <c r="D46" t="s">
        <v>83</v>
      </c>
      <c r="E46" t="s">
        <v>16</v>
      </c>
      <c r="F46">
        <v>45</v>
      </c>
      <c r="G46">
        <v>1</v>
      </c>
      <c r="H46">
        <v>0</v>
      </c>
      <c r="I46">
        <v>11753</v>
      </c>
      <c r="J46">
        <v>52.554200000000002</v>
      </c>
      <c r="K46" t="s">
        <v>84</v>
      </c>
      <c r="L46" t="s">
        <v>17</v>
      </c>
    </row>
    <row r="47" spans="1:12" x14ac:dyDescent="0.25">
      <c r="A47">
        <v>937</v>
      </c>
      <c r="B47">
        <v>0</v>
      </c>
      <c r="C47">
        <v>3</v>
      </c>
      <c r="D47" t="s">
        <v>85</v>
      </c>
      <c r="E47" t="s">
        <v>13</v>
      </c>
      <c r="F47">
        <v>25</v>
      </c>
      <c r="G47">
        <v>0</v>
      </c>
      <c r="H47">
        <v>0</v>
      </c>
      <c r="I47" t="s">
        <v>86</v>
      </c>
      <c r="J47">
        <v>7.9249999999999998</v>
      </c>
      <c r="L47" t="s">
        <v>17</v>
      </c>
    </row>
    <row r="48" spans="1:12" x14ac:dyDescent="0.25">
      <c r="A48">
        <v>938</v>
      </c>
      <c r="B48">
        <v>0</v>
      </c>
      <c r="C48">
        <v>1</v>
      </c>
      <c r="D48" t="s">
        <v>87</v>
      </c>
      <c r="E48" t="s">
        <v>13</v>
      </c>
      <c r="F48">
        <v>45</v>
      </c>
      <c r="G48">
        <v>0</v>
      </c>
      <c r="H48">
        <v>0</v>
      </c>
      <c r="I48" t="s">
        <v>88</v>
      </c>
      <c r="J48">
        <v>29.7</v>
      </c>
      <c r="K48" t="s">
        <v>89</v>
      </c>
      <c r="L48" t="s">
        <v>25</v>
      </c>
    </row>
    <row r="49" spans="1:12" x14ac:dyDescent="0.25">
      <c r="A49">
        <v>939</v>
      </c>
      <c r="B49">
        <v>0</v>
      </c>
      <c r="C49">
        <v>3</v>
      </c>
      <c r="D49" t="s">
        <v>90</v>
      </c>
      <c r="E49" t="s">
        <v>13</v>
      </c>
      <c r="G49">
        <v>0</v>
      </c>
      <c r="H49">
        <v>0</v>
      </c>
      <c r="I49">
        <v>370374</v>
      </c>
      <c r="J49">
        <v>7.75</v>
      </c>
      <c r="L49" t="s">
        <v>14</v>
      </c>
    </row>
    <row r="50" spans="1:12" x14ac:dyDescent="0.25">
      <c r="A50">
        <v>940</v>
      </c>
      <c r="B50">
        <v>1</v>
      </c>
      <c r="C50">
        <v>1</v>
      </c>
      <c r="D50" t="s">
        <v>91</v>
      </c>
      <c r="E50" t="s">
        <v>16</v>
      </c>
      <c r="F50">
        <v>60</v>
      </c>
      <c r="G50">
        <v>0</v>
      </c>
      <c r="H50">
        <v>0</v>
      </c>
      <c r="I50">
        <v>11813</v>
      </c>
      <c r="J50">
        <v>76.291700000000006</v>
      </c>
      <c r="K50" t="s">
        <v>92</v>
      </c>
      <c r="L50" t="s">
        <v>25</v>
      </c>
    </row>
    <row r="51" spans="1:12" x14ac:dyDescent="0.25">
      <c r="A51">
        <v>941</v>
      </c>
      <c r="B51">
        <v>1</v>
      </c>
      <c r="C51">
        <v>3</v>
      </c>
      <c r="D51" t="s">
        <v>93</v>
      </c>
      <c r="E51" t="s">
        <v>16</v>
      </c>
      <c r="F51">
        <v>36</v>
      </c>
      <c r="G51">
        <v>0</v>
      </c>
      <c r="H51">
        <v>2</v>
      </c>
      <c r="I51" t="s">
        <v>94</v>
      </c>
      <c r="J51">
        <v>15.9</v>
      </c>
      <c r="L51" t="s">
        <v>17</v>
      </c>
    </row>
    <row r="52" spans="1:12" x14ac:dyDescent="0.25">
      <c r="A52">
        <v>942</v>
      </c>
      <c r="B52">
        <v>0</v>
      </c>
      <c r="C52">
        <v>1</v>
      </c>
      <c r="D52" t="s">
        <v>95</v>
      </c>
      <c r="E52" t="s">
        <v>13</v>
      </c>
      <c r="F52">
        <v>24</v>
      </c>
      <c r="G52">
        <v>1</v>
      </c>
      <c r="H52">
        <v>0</v>
      </c>
      <c r="I52">
        <v>13695</v>
      </c>
      <c r="J52">
        <v>60</v>
      </c>
      <c r="K52" t="s">
        <v>96</v>
      </c>
      <c r="L52" t="s">
        <v>17</v>
      </c>
    </row>
    <row r="53" spans="1:12" x14ac:dyDescent="0.25">
      <c r="A53">
        <v>943</v>
      </c>
      <c r="B53">
        <v>0</v>
      </c>
      <c r="C53">
        <v>2</v>
      </c>
      <c r="D53" t="s">
        <v>97</v>
      </c>
      <c r="E53" t="s">
        <v>13</v>
      </c>
      <c r="F53">
        <v>27</v>
      </c>
      <c r="G53">
        <v>0</v>
      </c>
      <c r="H53">
        <v>0</v>
      </c>
      <c r="I53" t="s">
        <v>98</v>
      </c>
      <c r="J53">
        <v>15.033300000000001</v>
      </c>
      <c r="L53" t="s">
        <v>25</v>
      </c>
    </row>
    <row r="54" spans="1:12" x14ac:dyDescent="0.25">
      <c r="A54">
        <v>944</v>
      </c>
      <c r="B54">
        <v>1</v>
      </c>
      <c r="C54">
        <v>2</v>
      </c>
      <c r="D54" t="s">
        <v>99</v>
      </c>
      <c r="E54" t="s">
        <v>16</v>
      </c>
      <c r="F54">
        <v>20</v>
      </c>
      <c r="G54">
        <v>2</v>
      </c>
      <c r="H54">
        <v>1</v>
      </c>
      <c r="I54">
        <v>29105</v>
      </c>
      <c r="J54">
        <v>23</v>
      </c>
      <c r="L54" t="s">
        <v>17</v>
      </c>
    </row>
    <row r="55" spans="1:12" x14ac:dyDescent="0.25">
      <c r="A55">
        <v>945</v>
      </c>
      <c r="B55">
        <v>1</v>
      </c>
      <c r="C55">
        <v>1</v>
      </c>
      <c r="D55" t="s">
        <v>100</v>
      </c>
      <c r="E55" t="s">
        <v>16</v>
      </c>
      <c r="F55">
        <v>28</v>
      </c>
      <c r="G55">
        <v>3</v>
      </c>
      <c r="H55">
        <v>2</v>
      </c>
      <c r="I55">
        <v>19950</v>
      </c>
      <c r="J55">
        <v>263</v>
      </c>
      <c r="K55" t="s">
        <v>101</v>
      </c>
      <c r="L55" t="s">
        <v>17</v>
      </c>
    </row>
    <row r="56" spans="1:12" x14ac:dyDescent="0.25">
      <c r="A56">
        <v>946</v>
      </c>
      <c r="B56">
        <v>0</v>
      </c>
      <c r="C56">
        <v>2</v>
      </c>
      <c r="D56" t="s">
        <v>102</v>
      </c>
      <c r="E56" t="s">
        <v>13</v>
      </c>
      <c r="G56">
        <v>0</v>
      </c>
      <c r="H56">
        <v>0</v>
      </c>
      <c r="I56" t="s">
        <v>103</v>
      </c>
      <c r="J56">
        <v>15.5792</v>
      </c>
      <c r="L56" t="s">
        <v>25</v>
      </c>
    </row>
    <row r="57" spans="1:12" x14ac:dyDescent="0.25">
      <c r="A57">
        <v>947</v>
      </c>
      <c r="B57">
        <v>0</v>
      </c>
      <c r="C57">
        <v>3</v>
      </c>
      <c r="D57" t="s">
        <v>104</v>
      </c>
      <c r="E57" t="s">
        <v>13</v>
      </c>
      <c r="F57">
        <v>10</v>
      </c>
      <c r="G57">
        <v>4</v>
      </c>
      <c r="H57">
        <v>1</v>
      </c>
      <c r="I57">
        <v>382652</v>
      </c>
      <c r="J57">
        <v>29.125</v>
      </c>
      <c r="L57" t="s">
        <v>14</v>
      </c>
    </row>
    <row r="58" spans="1:12" x14ac:dyDescent="0.25">
      <c r="A58">
        <v>948</v>
      </c>
      <c r="B58">
        <v>0</v>
      </c>
      <c r="C58">
        <v>3</v>
      </c>
      <c r="D58" t="s">
        <v>105</v>
      </c>
      <c r="E58" t="s">
        <v>13</v>
      </c>
      <c r="F58">
        <v>35</v>
      </c>
      <c r="G58">
        <v>0</v>
      </c>
      <c r="H58">
        <v>0</v>
      </c>
      <c r="I58">
        <v>349230</v>
      </c>
      <c r="J58">
        <v>7.8958000000000004</v>
      </c>
      <c r="L58" t="s">
        <v>17</v>
      </c>
    </row>
    <row r="59" spans="1:12" x14ac:dyDescent="0.25">
      <c r="A59">
        <v>949</v>
      </c>
      <c r="B59">
        <v>0</v>
      </c>
      <c r="C59">
        <v>3</v>
      </c>
      <c r="D59" t="s">
        <v>106</v>
      </c>
      <c r="E59" t="s">
        <v>13</v>
      </c>
      <c r="F59">
        <v>25</v>
      </c>
      <c r="G59">
        <v>0</v>
      </c>
      <c r="H59">
        <v>0</v>
      </c>
      <c r="I59">
        <v>348122</v>
      </c>
      <c r="J59">
        <v>7.65</v>
      </c>
      <c r="K59" t="s">
        <v>107</v>
      </c>
      <c r="L59" t="s">
        <v>17</v>
      </c>
    </row>
    <row r="60" spans="1:12" x14ac:dyDescent="0.25">
      <c r="A60">
        <v>950</v>
      </c>
      <c r="B60">
        <v>0</v>
      </c>
      <c r="C60">
        <v>3</v>
      </c>
      <c r="D60" t="s">
        <v>108</v>
      </c>
      <c r="E60" t="s">
        <v>13</v>
      </c>
      <c r="G60">
        <v>1</v>
      </c>
      <c r="H60">
        <v>0</v>
      </c>
      <c r="I60">
        <v>386525</v>
      </c>
      <c r="J60">
        <v>16.100000000000001</v>
      </c>
      <c r="L60" t="s">
        <v>17</v>
      </c>
    </row>
    <row r="61" spans="1:12" x14ac:dyDescent="0.25">
      <c r="A61">
        <v>951</v>
      </c>
      <c r="B61">
        <v>1</v>
      </c>
      <c r="C61">
        <v>1</v>
      </c>
      <c r="D61" t="s">
        <v>109</v>
      </c>
      <c r="E61" t="s">
        <v>16</v>
      </c>
      <c r="F61">
        <v>36</v>
      </c>
      <c r="G61">
        <v>0</v>
      </c>
      <c r="H61">
        <v>0</v>
      </c>
      <c r="I61" t="s">
        <v>52</v>
      </c>
      <c r="J61">
        <v>262.375</v>
      </c>
      <c r="K61" t="s">
        <v>110</v>
      </c>
      <c r="L61" t="s">
        <v>25</v>
      </c>
    </row>
    <row r="62" spans="1:12" x14ac:dyDescent="0.25">
      <c r="A62">
        <v>952</v>
      </c>
      <c r="B62">
        <v>0</v>
      </c>
      <c r="C62">
        <v>3</v>
      </c>
      <c r="D62" t="s">
        <v>111</v>
      </c>
      <c r="E62" t="s">
        <v>13</v>
      </c>
      <c r="F62">
        <v>17</v>
      </c>
      <c r="G62">
        <v>0</v>
      </c>
      <c r="H62">
        <v>0</v>
      </c>
      <c r="I62">
        <v>349232</v>
      </c>
      <c r="J62">
        <v>7.8958000000000004</v>
      </c>
      <c r="L62" t="s">
        <v>17</v>
      </c>
    </row>
    <row r="63" spans="1:12" x14ac:dyDescent="0.25">
      <c r="A63">
        <v>953</v>
      </c>
      <c r="B63">
        <v>0</v>
      </c>
      <c r="C63">
        <v>2</v>
      </c>
      <c r="D63" t="s">
        <v>112</v>
      </c>
      <c r="E63" t="s">
        <v>13</v>
      </c>
      <c r="F63">
        <v>32</v>
      </c>
      <c r="G63">
        <v>0</v>
      </c>
      <c r="H63">
        <v>0</v>
      </c>
      <c r="I63">
        <v>237216</v>
      </c>
      <c r="J63">
        <v>13.5</v>
      </c>
      <c r="L63" t="s">
        <v>17</v>
      </c>
    </row>
    <row r="64" spans="1:12" x14ac:dyDescent="0.25">
      <c r="A64">
        <v>954</v>
      </c>
      <c r="B64">
        <v>0</v>
      </c>
      <c r="C64">
        <v>3</v>
      </c>
      <c r="D64" t="s">
        <v>113</v>
      </c>
      <c r="E64" t="s">
        <v>13</v>
      </c>
      <c r="F64">
        <v>18</v>
      </c>
      <c r="G64">
        <v>0</v>
      </c>
      <c r="H64">
        <v>0</v>
      </c>
      <c r="I64">
        <v>347090</v>
      </c>
      <c r="J64">
        <v>7.75</v>
      </c>
      <c r="L64" t="s">
        <v>17</v>
      </c>
    </row>
    <row r="65" spans="1:12" x14ac:dyDescent="0.25">
      <c r="A65">
        <v>955</v>
      </c>
      <c r="B65">
        <v>1</v>
      </c>
      <c r="C65">
        <v>3</v>
      </c>
      <c r="D65" t="s">
        <v>114</v>
      </c>
      <c r="E65" t="s">
        <v>16</v>
      </c>
      <c r="F65">
        <v>22</v>
      </c>
      <c r="G65">
        <v>0</v>
      </c>
      <c r="H65">
        <v>0</v>
      </c>
      <c r="I65">
        <v>334914</v>
      </c>
      <c r="J65">
        <v>7.7249999999999996</v>
      </c>
      <c r="L65" t="s">
        <v>14</v>
      </c>
    </row>
    <row r="66" spans="1:12" x14ac:dyDescent="0.25">
      <c r="A66">
        <v>956</v>
      </c>
      <c r="B66">
        <v>0</v>
      </c>
      <c r="C66">
        <v>1</v>
      </c>
      <c r="D66" t="s">
        <v>115</v>
      </c>
      <c r="E66" t="s">
        <v>13</v>
      </c>
      <c r="F66">
        <v>13</v>
      </c>
      <c r="G66">
        <v>2</v>
      </c>
      <c r="H66">
        <v>2</v>
      </c>
      <c r="I66" t="s">
        <v>52</v>
      </c>
      <c r="J66">
        <v>262.375</v>
      </c>
      <c r="K66" t="s">
        <v>53</v>
      </c>
      <c r="L66" t="s">
        <v>25</v>
      </c>
    </row>
    <row r="67" spans="1:12" x14ac:dyDescent="0.25">
      <c r="A67">
        <v>957</v>
      </c>
      <c r="B67">
        <v>1</v>
      </c>
      <c r="C67">
        <v>2</v>
      </c>
      <c r="D67" t="s">
        <v>116</v>
      </c>
      <c r="E67" t="s">
        <v>16</v>
      </c>
      <c r="G67">
        <v>0</v>
      </c>
      <c r="H67">
        <v>0</v>
      </c>
      <c r="I67" t="s">
        <v>117</v>
      </c>
      <c r="J67">
        <v>21</v>
      </c>
      <c r="L67" t="s">
        <v>17</v>
      </c>
    </row>
    <row r="68" spans="1:12" x14ac:dyDescent="0.25">
      <c r="A68">
        <v>958</v>
      </c>
      <c r="B68">
        <v>1</v>
      </c>
      <c r="C68">
        <v>3</v>
      </c>
      <c r="D68" t="s">
        <v>118</v>
      </c>
      <c r="E68" t="s">
        <v>16</v>
      </c>
      <c r="F68">
        <v>18</v>
      </c>
      <c r="G68">
        <v>0</v>
      </c>
      <c r="H68">
        <v>0</v>
      </c>
      <c r="I68">
        <v>330963</v>
      </c>
      <c r="J68">
        <v>7.8792</v>
      </c>
      <c r="L68" t="s">
        <v>14</v>
      </c>
    </row>
    <row r="69" spans="1:12" x14ac:dyDescent="0.25">
      <c r="A69">
        <v>959</v>
      </c>
      <c r="B69">
        <v>0</v>
      </c>
      <c r="C69">
        <v>1</v>
      </c>
      <c r="D69" t="s">
        <v>119</v>
      </c>
      <c r="E69" t="s">
        <v>13</v>
      </c>
      <c r="F69">
        <v>47</v>
      </c>
      <c r="G69">
        <v>0</v>
      </c>
      <c r="H69">
        <v>0</v>
      </c>
      <c r="I69">
        <v>113796</v>
      </c>
      <c r="J69">
        <v>42.4</v>
      </c>
      <c r="L69" t="s">
        <v>17</v>
      </c>
    </row>
    <row r="70" spans="1:12" x14ac:dyDescent="0.25">
      <c r="A70">
        <v>960</v>
      </c>
      <c r="B70">
        <v>0</v>
      </c>
      <c r="C70">
        <v>1</v>
      </c>
      <c r="D70" t="s">
        <v>120</v>
      </c>
      <c r="E70" t="s">
        <v>13</v>
      </c>
      <c r="F70">
        <v>31</v>
      </c>
      <c r="G70">
        <v>0</v>
      </c>
      <c r="H70">
        <v>0</v>
      </c>
      <c r="I70">
        <v>2543</v>
      </c>
      <c r="J70">
        <v>28.537500000000001</v>
      </c>
      <c r="K70" t="s">
        <v>121</v>
      </c>
      <c r="L70" t="s">
        <v>25</v>
      </c>
    </row>
    <row r="71" spans="1:12" x14ac:dyDescent="0.25">
      <c r="A71">
        <v>961</v>
      </c>
      <c r="B71">
        <v>1</v>
      </c>
      <c r="C71">
        <v>1</v>
      </c>
      <c r="D71" t="s">
        <v>122</v>
      </c>
      <c r="E71" t="s">
        <v>16</v>
      </c>
      <c r="F71">
        <v>60</v>
      </c>
      <c r="G71">
        <v>1</v>
      </c>
      <c r="H71">
        <v>4</v>
      </c>
      <c r="I71">
        <v>19950</v>
      </c>
      <c r="J71">
        <v>263</v>
      </c>
      <c r="K71" t="s">
        <v>101</v>
      </c>
      <c r="L71" t="s">
        <v>17</v>
      </c>
    </row>
    <row r="72" spans="1:12" x14ac:dyDescent="0.25">
      <c r="A72">
        <v>962</v>
      </c>
      <c r="B72">
        <v>1</v>
      </c>
      <c r="C72">
        <v>3</v>
      </c>
      <c r="D72" t="s">
        <v>123</v>
      </c>
      <c r="E72" t="s">
        <v>16</v>
      </c>
      <c r="F72">
        <v>24</v>
      </c>
      <c r="G72">
        <v>0</v>
      </c>
      <c r="H72">
        <v>0</v>
      </c>
      <c r="I72">
        <v>382653</v>
      </c>
      <c r="J72">
        <v>7.75</v>
      </c>
      <c r="L72" t="s">
        <v>14</v>
      </c>
    </row>
    <row r="73" spans="1:12" x14ac:dyDescent="0.25">
      <c r="A73">
        <v>963</v>
      </c>
      <c r="B73">
        <v>0</v>
      </c>
      <c r="C73">
        <v>3</v>
      </c>
      <c r="D73" t="s">
        <v>124</v>
      </c>
      <c r="E73" t="s">
        <v>13</v>
      </c>
      <c r="F73">
        <v>21</v>
      </c>
      <c r="G73">
        <v>0</v>
      </c>
      <c r="H73">
        <v>0</v>
      </c>
      <c r="I73">
        <v>349211</v>
      </c>
      <c r="J73">
        <v>7.8958000000000004</v>
      </c>
      <c r="L73" t="s">
        <v>17</v>
      </c>
    </row>
    <row r="74" spans="1:12" x14ac:dyDescent="0.25">
      <c r="A74">
        <v>964</v>
      </c>
      <c r="B74">
        <v>1</v>
      </c>
      <c r="C74">
        <v>3</v>
      </c>
      <c r="D74" t="s">
        <v>125</v>
      </c>
      <c r="E74" t="s">
        <v>16</v>
      </c>
      <c r="F74">
        <v>29</v>
      </c>
      <c r="G74">
        <v>0</v>
      </c>
      <c r="H74">
        <v>0</v>
      </c>
      <c r="I74">
        <v>3101297</v>
      </c>
      <c r="J74">
        <v>7.9249999999999998</v>
      </c>
      <c r="L74" t="s">
        <v>17</v>
      </c>
    </row>
    <row r="75" spans="1:12" x14ac:dyDescent="0.25">
      <c r="A75">
        <v>965</v>
      </c>
      <c r="B75">
        <v>0</v>
      </c>
      <c r="C75">
        <v>1</v>
      </c>
      <c r="D75" t="s">
        <v>126</v>
      </c>
      <c r="E75" t="s">
        <v>13</v>
      </c>
      <c r="F75">
        <v>28.5</v>
      </c>
      <c r="G75">
        <v>0</v>
      </c>
      <c r="H75">
        <v>0</v>
      </c>
      <c r="I75" t="s">
        <v>127</v>
      </c>
      <c r="J75">
        <v>27.720800000000001</v>
      </c>
      <c r="K75" t="s">
        <v>128</v>
      </c>
      <c r="L75" t="s">
        <v>25</v>
      </c>
    </row>
    <row r="76" spans="1:12" x14ac:dyDescent="0.25">
      <c r="A76">
        <v>966</v>
      </c>
      <c r="B76">
        <v>1</v>
      </c>
      <c r="C76">
        <v>1</v>
      </c>
      <c r="D76" t="s">
        <v>129</v>
      </c>
      <c r="E76" t="s">
        <v>16</v>
      </c>
      <c r="F76">
        <v>35</v>
      </c>
      <c r="G76">
        <v>0</v>
      </c>
      <c r="H76">
        <v>0</v>
      </c>
      <c r="I76">
        <v>113503</v>
      </c>
      <c r="J76">
        <v>211.5</v>
      </c>
      <c r="K76" t="s">
        <v>130</v>
      </c>
      <c r="L76" t="s">
        <v>25</v>
      </c>
    </row>
    <row r="77" spans="1:12" x14ac:dyDescent="0.25">
      <c r="A77">
        <v>967</v>
      </c>
      <c r="B77">
        <v>0</v>
      </c>
      <c r="C77">
        <v>1</v>
      </c>
      <c r="D77" t="s">
        <v>131</v>
      </c>
      <c r="E77" t="s">
        <v>13</v>
      </c>
      <c r="F77">
        <v>32.5</v>
      </c>
      <c r="G77">
        <v>0</v>
      </c>
      <c r="H77">
        <v>0</v>
      </c>
      <c r="I77">
        <v>113503</v>
      </c>
      <c r="J77">
        <v>211.5</v>
      </c>
      <c r="K77" t="s">
        <v>132</v>
      </c>
      <c r="L77" t="s">
        <v>25</v>
      </c>
    </row>
    <row r="78" spans="1:12" x14ac:dyDescent="0.25">
      <c r="A78">
        <v>968</v>
      </c>
      <c r="B78">
        <v>0</v>
      </c>
      <c r="C78">
        <v>3</v>
      </c>
      <c r="D78" t="s">
        <v>133</v>
      </c>
      <c r="E78" t="s">
        <v>13</v>
      </c>
      <c r="G78">
        <v>0</v>
      </c>
      <c r="H78">
        <v>0</v>
      </c>
      <c r="I78">
        <v>359306</v>
      </c>
      <c r="J78">
        <v>8.0500000000000007</v>
      </c>
      <c r="L78" t="s">
        <v>17</v>
      </c>
    </row>
    <row r="79" spans="1:12" x14ac:dyDescent="0.25">
      <c r="A79">
        <v>969</v>
      </c>
      <c r="B79">
        <v>1</v>
      </c>
      <c r="C79">
        <v>1</v>
      </c>
      <c r="D79" t="s">
        <v>134</v>
      </c>
      <c r="E79" t="s">
        <v>16</v>
      </c>
      <c r="F79">
        <v>55</v>
      </c>
      <c r="G79">
        <v>2</v>
      </c>
      <c r="H79">
        <v>0</v>
      </c>
      <c r="I79">
        <v>11770</v>
      </c>
      <c r="J79">
        <v>25.7</v>
      </c>
      <c r="K79" t="s">
        <v>135</v>
      </c>
      <c r="L79" t="s">
        <v>17</v>
      </c>
    </row>
    <row r="80" spans="1:12" x14ac:dyDescent="0.25">
      <c r="A80">
        <v>970</v>
      </c>
      <c r="B80">
        <v>0</v>
      </c>
      <c r="C80">
        <v>2</v>
      </c>
      <c r="D80" t="s">
        <v>136</v>
      </c>
      <c r="E80" t="s">
        <v>13</v>
      </c>
      <c r="F80">
        <v>30</v>
      </c>
      <c r="G80">
        <v>0</v>
      </c>
      <c r="H80">
        <v>0</v>
      </c>
      <c r="I80">
        <v>248744</v>
      </c>
      <c r="J80">
        <v>13</v>
      </c>
      <c r="L80" t="s">
        <v>17</v>
      </c>
    </row>
    <row r="81" spans="1:12" x14ac:dyDescent="0.25">
      <c r="A81">
        <v>971</v>
      </c>
      <c r="B81">
        <v>1</v>
      </c>
      <c r="C81">
        <v>3</v>
      </c>
      <c r="D81" t="s">
        <v>137</v>
      </c>
      <c r="E81" t="s">
        <v>16</v>
      </c>
      <c r="F81">
        <v>24</v>
      </c>
      <c r="G81">
        <v>0</v>
      </c>
      <c r="H81">
        <v>0</v>
      </c>
      <c r="I81">
        <v>368702</v>
      </c>
      <c r="J81">
        <v>7.75</v>
      </c>
      <c r="L81" t="s">
        <v>14</v>
      </c>
    </row>
    <row r="82" spans="1:12" x14ac:dyDescent="0.25">
      <c r="A82">
        <v>972</v>
      </c>
      <c r="B82">
        <v>0</v>
      </c>
      <c r="C82">
        <v>3</v>
      </c>
      <c r="D82" t="s">
        <v>138</v>
      </c>
      <c r="E82" t="s">
        <v>13</v>
      </c>
      <c r="F82">
        <v>6</v>
      </c>
      <c r="G82">
        <v>1</v>
      </c>
      <c r="H82">
        <v>1</v>
      </c>
      <c r="I82">
        <v>2678</v>
      </c>
      <c r="J82">
        <v>15.245799999999999</v>
      </c>
      <c r="L82" t="s">
        <v>25</v>
      </c>
    </row>
    <row r="83" spans="1:12" x14ac:dyDescent="0.25">
      <c r="A83">
        <v>973</v>
      </c>
      <c r="B83">
        <v>0</v>
      </c>
      <c r="C83">
        <v>1</v>
      </c>
      <c r="D83" t="s">
        <v>139</v>
      </c>
      <c r="E83" t="s">
        <v>13</v>
      </c>
      <c r="F83">
        <v>67</v>
      </c>
      <c r="G83">
        <v>1</v>
      </c>
      <c r="H83">
        <v>0</v>
      </c>
      <c r="I83" t="s">
        <v>140</v>
      </c>
      <c r="J83">
        <v>221.7792</v>
      </c>
      <c r="K83" t="s">
        <v>141</v>
      </c>
      <c r="L83" t="s">
        <v>17</v>
      </c>
    </row>
    <row r="84" spans="1:12" x14ac:dyDescent="0.25">
      <c r="A84">
        <v>974</v>
      </c>
      <c r="B84">
        <v>0</v>
      </c>
      <c r="C84">
        <v>1</v>
      </c>
      <c r="D84" t="s">
        <v>142</v>
      </c>
      <c r="E84" t="s">
        <v>13</v>
      </c>
      <c r="F84">
        <v>49</v>
      </c>
      <c r="G84">
        <v>0</v>
      </c>
      <c r="H84">
        <v>0</v>
      </c>
      <c r="I84">
        <v>19924</v>
      </c>
      <c r="J84">
        <v>26</v>
      </c>
      <c r="L84" t="s">
        <v>17</v>
      </c>
    </row>
    <row r="85" spans="1:12" x14ac:dyDescent="0.25">
      <c r="A85">
        <v>975</v>
      </c>
      <c r="B85">
        <v>0</v>
      </c>
      <c r="C85">
        <v>3</v>
      </c>
      <c r="D85" t="s">
        <v>143</v>
      </c>
      <c r="E85" t="s">
        <v>13</v>
      </c>
      <c r="G85">
        <v>0</v>
      </c>
      <c r="H85">
        <v>0</v>
      </c>
      <c r="I85">
        <v>349238</v>
      </c>
      <c r="J85">
        <v>7.8958000000000004</v>
      </c>
      <c r="L85" t="s">
        <v>17</v>
      </c>
    </row>
    <row r="86" spans="1:12" x14ac:dyDescent="0.25">
      <c r="A86">
        <v>976</v>
      </c>
      <c r="B86">
        <v>0</v>
      </c>
      <c r="C86">
        <v>2</v>
      </c>
      <c r="D86" t="s">
        <v>144</v>
      </c>
      <c r="E86" t="s">
        <v>13</v>
      </c>
      <c r="G86">
        <v>0</v>
      </c>
      <c r="H86">
        <v>0</v>
      </c>
      <c r="I86">
        <v>240261</v>
      </c>
      <c r="J86">
        <v>10.708299999999999</v>
      </c>
      <c r="L86" t="s">
        <v>14</v>
      </c>
    </row>
    <row r="87" spans="1:12" x14ac:dyDescent="0.25">
      <c r="A87">
        <v>977</v>
      </c>
      <c r="B87">
        <v>0</v>
      </c>
      <c r="C87">
        <v>3</v>
      </c>
      <c r="D87" t="s">
        <v>145</v>
      </c>
      <c r="E87" t="s">
        <v>13</v>
      </c>
      <c r="G87">
        <v>1</v>
      </c>
      <c r="H87">
        <v>0</v>
      </c>
      <c r="I87">
        <v>2660</v>
      </c>
      <c r="J87">
        <v>14.4542</v>
      </c>
      <c r="L87" t="s">
        <v>25</v>
      </c>
    </row>
    <row r="88" spans="1:12" x14ac:dyDescent="0.25">
      <c r="A88">
        <v>978</v>
      </c>
      <c r="B88">
        <v>1</v>
      </c>
      <c r="C88">
        <v>3</v>
      </c>
      <c r="D88" t="s">
        <v>146</v>
      </c>
      <c r="E88" t="s">
        <v>16</v>
      </c>
      <c r="F88">
        <v>27</v>
      </c>
      <c r="G88">
        <v>0</v>
      </c>
      <c r="H88">
        <v>0</v>
      </c>
      <c r="I88">
        <v>330844</v>
      </c>
      <c r="J88">
        <v>7.8792</v>
      </c>
      <c r="L88" t="s">
        <v>14</v>
      </c>
    </row>
    <row r="89" spans="1:12" x14ac:dyDescent="0.25">
      <c r="A89">
        <v>979</v>
      </c>
      <c r="B89">
        <v>1</v>
      </c>
      <c r="C89">
        <v>3</v>
      </c>
      <c r="D89" t="s">
        <v>147</v>
      </c>
      <c r="E89" t="s">
        <v>16</v>
      </c>
      <c r="F89">
        <v>18</v>
      </c>
      <c r="G89">
        <v>0</v>
      </c>
      <c r="H89">
        <v>0</v>
      </c>
      <c r="I89" t="s">
        <v>148</v>
      </c>
      <c r="J89">
        <v>8.0500000000000007</v>
      </c>
      <c r="L89" t="s">
        <v>17</v>
      </c>
    </row>
    <row r="90" spans="1:12" x14ac:dyDescent="0.25">
      <c r="A90">
        <v>980</v>
      </c>
      <c r="B90">
        <v>1</v>
      </c>
      <c r="C90">
        <v>3</v>
      </c>
      <c r="D90" t="s">
        <v>149</v>
      </c>
      <c r="E90" t="s">
        <v>16</v>
      </c>
      <c r="G90">
        <v>0</v>
      </c>
      <c r="H90">
        <v>0</v>
      </c>
      <c r="I90">
        <v>364856</v>
      </c>
      <c r="J90">
        <v>7.75</v>
      </c>
      <c r="L90" t="s">
        <v>14</v>
      </c>
    </row>
    <row r="91" spans="1:12" x14ac:dyDescent="0.25">
      <c r="A91">
        <v>981</v>
      </c>
      <c r="B91">
        <v>0</v>
      </c>
      <c r="C91">
        <v>2</v>
      </c>
      <c r="D91" t="s">
        <v>150</v>
      </c>
      <c r="E91" t="s">
        <v>13</v>
      </c>
      <c r="F91">
        <v>2</v>
      </c>
      <c r="G91">
        <v>1</v>
      </c>
      <c r="H91">
        <v>1</v>
      </c>
      <c r="I91">
        <v>29103</v>
      </c>
      <c r="J91">
        <v>23</v>
      </c>
      <c r="L91" t="s">
        <v>17</v>
      </c>
    </row>
    <row r="92" spans="1:12" x14ac:dyDescent="0.25">
      <c r="A92">
        <v>982</v>
      </c>
      <c r="B92">
        <v>1</v>
      </c>
      <c r="C92">
        <v>3</v>
      </c>
      <c r="D92" t="s">
        <v>151</v>
      </c>
      <c r="E92" t="s">
        <v>16</v>
      </c>
      <c r="F92">
        <v>22</v>
      </c>
      <c r="G92">
        <v>1</v>
      </c>
      <c r="H92">
        <v>0</v>
      </c>
      <c r="I92">
        <v>347072</v>
      </c>
      <c r="J92">
        <v>13.9</v>
      </c>
      <c r="L92" t="s">
        <v>17</v>
      </c>
    </row>
    <row r="93" spans="1:12" x14ac:dyDescent="0.25">
      <c r="A93">
        <v>983</v>
      </c>
      <c r="B93">
        <v>0</v>
      </c>
      <c r="C93">
        <v>3</v>
      </c>
      <c r="D93" t="s">
        <v>152</v>
      </c>
      <c r="E93" t="s">
        <v>13</v>
      </c>
      <c r="G93">
        <v>0</v>
      </c>
      <c r="H93">
        <v>0</v>
      </c>
      <c r="I93">
        <v>345498</v>
      </c>
      <c r="J93">
        <v>7.7750000000000004</v>
      </c>
      <c r="L93" t="s">
        <v>17</v>
      </c>
    </row>
    <row r="94" spans="1:12" x14ac:dyDescent="0.25">
      <c r="A94">
        <v>984</v>
      </c>
      <c r="B94">
        <v>1</v>
      </c>
      <c r="C94">
        <v>1</v>
      </c>
      <c r="D94" t="s">
        <v>153</v>
      </c>
      <c r="E94" t="s">
        <v>16</v>
      </c>
      <c r="F94">
        <v>27</v>
      </c>
      <c r="G94">
        <v>1</v>
      </c>
      <c r="H94">
        <v>2</v>
      </c>
      <c r="I94" t="s">
        <v>154</v>
      </c>
      <c r="J94">
        <v>52</v>
      </c>
      <c r="K94" t="s">
        <v>155</v>
      </c>
      <c r="L94" t="s">
        <v>17</v>
      </c>
    </row>
    <row r="95" spans="1:12" x14ac:dyDescent="0.25">
      <c r="A95">
        <v>985</v>
      </c>
      <c r="B95">
        <v>0</v>
      </c>
      <c r="C95">
        <v>3</v>
      </c>
      <c r="D95" t="s">
        <v>156</v>
      </c>
      <c r="E95" t="s">
        <v>13</v>
      </c>
      <c r="G95">
        <v>0</v>
      </c>
      <c r="H95">
        <v>0</v>
      </c>
      <c r="I95">
        <v>376563</v>
      </c>
      <c r="J95">
        <v>8.0500000000000007</v>
      </c>
      <c r="L95" t="s">
        <v>17</v>
      </c>
    </row>
    <row r="96" spans="1:12" x14ac:dyDescent="0.25">
      <c r="A96">
        <v>986</v>
      </c>
      <c r="B96">
        <v>0</v>
      </c>
      <c r="C96">
        <v>1</v>
      </c>
      <c r="D96" t="s">
        <v>157</v>
      </c>
      <c r="E96" t="s">
        <v>13</v>
      </c>
      <c r="F96">
        <v>25</v>
      </c>
      <c r="G96">
        <v>0</v>
      </c>
      <c r="H96">
        <v>0</v>
      </c>
      <c r="I96">
        <v>13905</v>
      </c>
      <c r="J96">
        <v>26</v>
      </c>
      <c r="L96" t="s">
        <v>25</v>
      </c>
    </row>
    <row r="97" spans="1:12" x14ac:dyDescent="0.25">
      <c r="A97">
        <v>987</v>
      </c>
      <c r="B97">
        <v>0</v>
      </c>
      <c r="C97">
        <v>3</v>
      </c>
      <c r="D97" t="s">
        <v>158</v>
      </c>
      <c r="E97" t="s">
        <v>13</v>
      </c>
      <c r="F97">
        <v>25</v>
      </c>
      <c r="G97">
        <v>0</v>
      </c>
      <c r="H97">
        <v>0</v>
      </c>
      <c r="I97">
        <v>350033</v>
      </c>
      <c r="J97">
        <v>7.7957999999999998</v>
      </c>
      <c r="L97" t="s">
        <v>17</v>
      </c>
    </row>
    <row r="98" spans="1:12" x14ac:dyDescent="0.25">
      <c r="A98">
        <v>988</v>
      </c>
      <c r="B98">
        <v>1</v>
      </c>
      <c r="C98">
        <v>1</v>
      </c>
      <c r="D98" t="s">
        <v>159</v>
      </c>
      <c r="E98" t="s">
        <v>16</v>
      </c>
      <c r="F98">
        <v>76</v>
      </c>
      <c r="G98">
        <v>1</v>
      </c>
      <c r="H98">
        <v>0</v>
      </c>
      <c r="I98">
        <v>19877</v>
      </c>
      <c r="J98">
        <v>78.849999999999994</v>
      </c>
      <c r="K98" t="s">
        <v>160</v>
      </c>
      <c r="L98" t="s">
        <v>17</v>
      </c>
    </row>
    <row r="99" spans="1:12" x14ac:dyDescent="0.25">
      <c r="A99">
        <v>989</v>
      </c>
      <c r="B99">
        <v>0</v>
      </c>
      <c r="C99">
        <v>3</v>
      </c>
      <c r="D99" t="s">
        <v>161</v>
      </c>
      <c r="E99" t="s">
        <v>13</v>
      </c>
      <c r="F99">
        <v>29</v>
      </c>
      <c r="G99">
        <v>0</v>
      </c>
      <c r="H99">
        <v>0</v>
      </c>
      <c r="I99" t="s">
        <v>162</v>
      </c>
      <c r="J99">
        <v>7.9249999999999998</v>
      </c>
      <c r="L99" t="s">
        <v>17</v>
      </c>
    </row>
    <row r="100" spans="1:12" x14ac:dyDescent="0.25">
      <c r="A100">
        <v>990</v>
      </c>
      <c r="B100">
        <v>1</v>
      </c>
      <c r="C100">
        <v>3</v>
      </c>
      <c r="D100" t="s">
        <v>163</v>
      </c>
      <c r="E100" t="s">
        <v>16</v>
      </c>
      <c r="F100">
        <v>20</v>
      </c>
      <c r="G100">
        <v>0</v>
      </c>
      <c r="H100">
        <v>0</v>
      </c>
      <c r="I100">
        <v>347471</v>
      </c>
      <c r="J100">
        <v>7.8541999999999996</v>
      </c>
      <c r="L100" t="s">
        <v>17</v>
      </c>
    </row>
    <row r="101" spans="1:12" x14ac:dyDescent="0.25">
      <c r="A101">
        <v>991</v>
      </c>
      <c r="B101">
        <v>0</v>
      </c>
      <c r="C101">
        <v>3</v>
      </c>
      <c r="D101" t="s">
        <v>164</v>
      </c>
      <c r="E101" t="s">
        <v>13</v>
      </c>
      <c r="F101">
        <v>33</v>
      </c>
      <c r="G101">
        <v>0</v>
      </c>
      <c r="H101">
        <v>0</v>
      </c>
      <c r="I101" t="s">
        <v>165</v>
      </c>
      <c r="J101">
        <v>8.0500000000000007</v>
      </c>
      <c r="L101" t="s">
        <v>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1"/>
  <sheetViews>
    <sheetView workbookViewId="0">
      <selection activeCell="O21" sqref="O21"/>
    </sheetView>
  </sheetViews>
  <sheetFormatPr defaultRowHeight="15" x14ac:dyDescent="0.25"/>
  <cols>
    <col min="1" max="1" width="10.7109375" bestFit="1" customWidth="1"/>
    <col min="2" max="2" width="7.7109375" bestFit="1" customWidth="1"/>
    <col min="3" max="3" width="18.5703125" bestFit="1" customWidth="1"/>
    <col min="4" max="4" width="49.5703125" bestFit="1" customWidth="1"/>
    <col min="5" max="5" width="6.7109375" bestFit="1" customWidth="1"/>
    <col min="6" max="6" width="5" bestFit="1" customWidth="1"/>
    <col min="7" max="7" width="6.140625" bestFit="1" customWidth="1"/>
    <col min="8" max="8" width="12.28515625" bestFit="1" customWidth="1"/>
    <col min="9" max="9" width="19.140625" bestFit="1" customWidth="1"/>
    <col min="10" max="10" width="9" bestFit="1" customWidth="1"/>
    <col min="11" max="11" width="14.85546875" bestFit="1" customWidth="1"/>
    <col min="12" max="12" width="9.140625" bestFit="1" customWidth="1"/>
  </cols>
  <sheetData>
    <row r="1" spans="1:12" x14ac:dyDescent="0.25">
      <c r="A1" s="5" t="s">
        <v>0</v>
      </c>
      <c r="B1" s="5" t="s">
        <v>1</v>
      </c>
      <c r="C1" s="5" t="s">
        <v>172</v>
      </c>
      <c r="D1" s="5" t="s">
        <v>3</v>
      </c>
      <c r="E1" s="5" t="s">
        <v>4</v>
      </c>
      <c r="F1" s="5" t="s">
        <v>5</v>
      </c>
      <c r="G1" s="5" t="s">
        <v>171</v>
      </c>
      <c r="H1" s="5" t="s">
        <v>170</v>
      </c>
      <c r="I1" s="5" t="s">
        <v>8</v>
      </c>
      <c r="J1" s="5" t="s">
        <v>9</v>
      </c>
      <c r="K1" s="5" t="s">
        <v>10</v>
      </c>
      <c r="L1" s="5" t="s">
        <v>11</v>
      </c>
    </row>
    <row r="2" spans="1:12" x14ac:dyDescent="0.25">
      <c r="A2">
        <v>892</v>
      </c>
      <c r="B2">
        <v>0</v>
      </c>
      <c r="C2">
        <v>3</v>
      </c>
      <c r="D2" t="s">
        <v>12</v>
      </c>
      <c r="E2" t="s">
        <v>13</v>
      </c>
      <c r="F2">
        <v>34.5</v>
      </c>
      <c r="G2">
        <v>0</v>
      </c>
      <c r="H2">
        <v>0</v>
      </c>
      <c r="I2">
        <v>330911</v>
      </c>
      <c r="J2">
        <v>7.8292000000000002</v>
      </c>
      <c r="L2" t="s">
        <v>14</v>
      </c>
    </row>
    <row r="3" spans="1:12" x14ac:dyDescent="0.25">
      <c r="A3">
        <v>893</v>
      </c>
      <c r="B3">
        <v>1</v>
      </c>
      <c r="C3">
        <v>3</v>
      </c>
      <c r="D3" t="s">
        <v>15</v>
      </c>
      <c r="E3" t="s">
        <v>16</v>
      </c>
      <c r="F3">
        <v>47</v>
      </c>
      <c r="G3">
        <v>1</v>
      </c>
      <c r="H3">
        <v>0</v>
      </c>
      <c r="I3">
        <v>363272</v>
      </c>
      <c r="J3">
        <v>7</v>
      </c>
      <c r="L3" t="s">
        <v>17</v>
      </c>
    </row>
    <row r="4" spans="1:12" x14ac:dyDescent="0.25">
      <c r="A4">
        <v>894</v>
      </c>
      <c r="B4">
        <v>0</v>
      </c>
      <c r="C4">
        <v>2</v>
      </c>
      <c r="D4" t="s">
        <v>18</v>
      </c>
      <c r="E4" t="s">
        <v>13</v>
      </c>
      <c r="F4">
        <v>62</v>
      </c>
      <c r="G4">
        <v>0</v>
      </c>
      <c r="H4">
        <v>0</v>
      </c>
      <c r="I4">
        <v>240276</v>
      </c>
      <c r="J4">
        <v>9.6875</v>
      </c>
      <c r="L4" t="s">
        <v>14</v>
      </c>
    </row>
    <row r="5" spans="1:12" x14ac:dyDescent="0.25">
      <c r="A5">
        <v>895</v>
      </c>
      <c r="B5">
        <v>0</v>
      </c>
      <c r="C5">
        <v>3</v>
      </c>
      <c r="D5" t="s">
        <v>19</v>
      </c>
      <c r="E5" t="s">
        <v>13</v>
      </c>
      <c r="F5">
        <v>27</v>
      </c>
      <c r="G5">
        <v>0</v>
      </c>
      <c r="H5">
        <v>0</v>
      </c>
      <c r="I5">
        <v>315154</v>
      </c>
      <c r="J5">
        <v>8.6624999999999996</v>
      </c>
      <c r="L5" t="s">
        <v>17</v>
      </c>
    </row>
    <row r="6" spans="1:12" x14ac:dyDescent="0.25">
      <c r="A6">
        <v>896</v>
      </c>
      <c r="B6">
        <v>1</v>
      </c>
      <c r="C6">
        <v>3</v>
      </c>
      <c r="D6" t="s">
        <v>20</v>
      </c>
      <c r="E6" t="s">
        <v>16</v>
      </c>
      <c r="F6">
        <v>22</v>
      </c>
      <c r="G6">
        <v>1</v>
      </c>
      <c r="H6">
        <v>1</v>
      </c>
      <c r="I6">
        <v>3101298</v>
      </c>
      <c r="J6">
        <v>12.2875</v>
      </c>
      <c r="L6" t="s">
        <v>17</v>
      </c>
    </row>
    <row r="7" spans="1:12" x14ac:dyDescent="0.25">
      <c r="A7">
        <v>897</v>
      </c>
      <c r="B7">
        <v>0</v>
      </c>
      <c r="C7">
        <v>3</v>
      </c>
      <c r="D7" t="s">
        <v>21</v>
      </c>
      <c r="E7" t="s">
        <v>13</v>
      </c>
      <c r="F7">
        <v>14</v>
      </c>
      <c r="G7">
        <v>0</v>
      </c>
      <c r="H7">
        <v>0</v>
      </c>
      <c r="I7">
        <v>7538</v>
      </c>
      <c r="J7">
        <v>9.2249999999999996</v>
      </c>
      <c r="L7" t="s">
        <v>17</v>
      </c>
    </row>
    <row r="8" spans="1:12" x14ac:dyDescent="0.25">
      <c r="A8">
        <v>898</v>
      </c>
      <c r="B8">
        <v>1</v>
      </c>
      <c r="C8">
        <v>3</v>
      </c>
      <c r="D8" t="s">
        <v>22</v>
      </c>
      <c r="E8" t="s">
        <v>16</v>
      </c>
      <c r="F8">
        <v>30</v>
      </c>
      <c r="G8">
        <v>0</v>
      </c>
      <c r="H8">
        <v>0</v>
      </c>
      <c r="I8">
        <v>330972</v>
      </c>
      <c r="J8">
        <v>7.6292</v>
      </c>
      <c r="L8" t="s">
        <v>14</v>
      </c>
    </row>
    <row r="9" spans="1:12" x14ac:dyDescent="0.25">
      <c r="A9">
        <v>899</v>
      </c>
      <c r="B9">
        <v>0</v>
      </c>
      <c r="C9">
        <v>2</v>
      </c>
      <c r="D9" t="s">
        <v>23</v>
      </c>
      <c r="E9" t="s">
        <v>13</v>
      </c>
      <c r="F9">
        <v>26</v>
      </c>
      <c r="G9">
        <v>1</v>
      </c>
      <c r="H9">
        <v>1</v>
      </c>
      <c r="I9">
        <v>248738</v>
      </c>
      <c r="J9">
        <v>29</v>
      </c>
      <c r="L9" t="s">
        <v>17</v>
      </c>
    </row>
    <row r="10" spans="1:12" x14ac:dyDescent="0.25">
      <c r="A10">
        <v>900</v>
      </c>
      <c r="B10">
        <v>1</v>
      </c>
      <c r="C10">
        <v>3</v>
      </c>
      <c r="D10" t="s">
        <v>24</v>
      </c>
      <c r="E10" t="s">
        <v>16</v>
      </c>
      <c r="F10">
        <v>18</v>
      </c>
      <c r="G10">
        <v>0</v>
      </c>
      <c r="H10">
        <v>0</v>
      </c>
      <c r="I10">
        <v>2657</v>
      </c>
      <c r="J10">
        <v>7.2291999999999996</v>
      </c>
      <c r="L10" t="s">
        <v>25</v>
      </c>
    </row>
    <row r="11" spans="1:12" x14ac:dyDescent="0.25">
      <c r="A11">
        <v>901</v>
      </c>
      <c r="B11">
        <v>0</v>
      </c>
      <c r="C11">
        <v>3</v>
      </c>
      <c r="D11" t="s">
        <v>26</v>
      </c>
      <c r="E11" t="s">
        <v>13</v>
      </c>
      <c r="F11">
        <v>21</v>
      </c>
      <c r="G11">
        <v>2</v>
      </c>
      <c r="H11">
        <v>0</v>
      </c>
      <c r="I11" t="s">
        <v>27</v>
      </c>
      <c r="J11">
        <v>24.15</v>
      </c>
      <c r="L11" t="s">
        <v>17</v>
      </c>
    </row>
    <row r="12" spans="1:12" x14ac:dyDescent="0.25">
      <c r="A12">
        <v>902</v>
      </c>
      <c r="B12">
        <v>0</v>
      </c>
      <c r="C12">
        <v>3</v>
      </c>
      <c r="D12" t="s">
        <v>28</v>
      </c>
      <c r="E12" t="s">
        <v>13</v>
      </c>
      <c r="G12">
        <v>0</v>
      </c>
      <c r="H12">
        <v>0</v>
      </c>
      <c r="I12">
        <v>349220</v>
      </c>
      <c r="J12">
        <v>7.8958000000000004</v>
      </c>
      <c r="L12" t="s">
        <v>17</v>
      </c>
    </row>
    <row r="13" spans="1:12" x14ac:dyDescent="0.25">
      <c r="A13">
        <v>903</v>
      </c>
      <c r="B13">
        <v>0</v>
      </c>
      <c r="C13">
        <v>1</v>
      </c>
      <c r="D13" t="s">
        <v>29</v>
      </c>
      <c r="E13" t="s">
        <v>13</v>
      </c>
      <c r="F13">
        <v>46</v>
      </c>
      <c r="G13">
        <v>0</v>
      </c>
      <c r="H13">
        <v>0</v>
      </c>
      <c r="I13">
        <v>694</v>
      </c>
      <c r="J13">
        <v>26</v>
      </c>
      <c r="L13" t="s">
        <v>17</v>
      </c>
    </row>
    <row r="14" spans="1:12" x14ac:dyDescent="0.25">
      <c r="A14">
        <v>904</v>
      </c>
      <c r="B14">
        <v>1</v>
      </c>
      <c r="C14">
        <v>1</v>
      </c>
      <c r="D14" t="s">
        <v>30</v>
      </c>
      <c r="E14" t="s">
        <v>16</v>
      </c>
      <c r="F14">
        <v>23</v>
      </c>
      <c r="G14">
        <v>1</v>
      </c>
      <c r="H14">
        <v>0</v>
      </c>
      <c r="I14">
        <v>21228</v>
      </c>
      <c r="J14">
        <v>82.2667</v>
      </c>
      <c r="K14" t="s">
        <v>31</v>
      </c>
      <c r="L14" t="s">
        <v>17</v>
      </c>
    </row>
    <row r="15" spans="1:12" x14ac:dyDescent="0.25">
      <c r="A15">
        <v>905</v>
      </c>
      <c r="B15">
        <v>0</v>
      </c>
      <c r="C15">
        <v>2</v>
      </c>
      <c r="D15" t="s">
        <v>32</v>
      </c>
      <c r="E15" t="s">
        <v>13</v>
      </c>
      <c r="F15">
        <v>63</v>
      </c>
      <c r="G15">
        <v>1</v>
      </c>
      <c r="H15">
        <v>0</v>
      </c>
      <c r="I15">
        <v>24065</v>
      </c>
      <c r="J15">
        <v>26</v>
      </c>
      <c r="L15" t="s">
        <v>17</v>
      </c>
    </row>
    <row r="16" spans="1:12" x14ac:dyDescent="0.25">
      <c r="A16">
        <v>906</v>
      </c>
      <c r="B16">
        <v>1</v>
      </c>
      <c r="C16">
        <v>1</v>
      </c>
      <c r="D16" t="s">
        <v>33</v>
      </c>
      <c r="E16" t="s">
        <v>16</v>
      </c>
      <c r="F16">
        <v>47</v>
      </c>
      <c r="G16">
        <v>1</v>
      </c>
      <c r="H16">
        <v>0</v>
      </c>
      <c r="I16" t="s">
        <v>34</v>
      </c>
      <c r="J16">
        <v>61.174999999999997</v>
      </c>
      <c r="K16" t="s">
        <v>35</v>
      </c>
      <c r="L16" t="s">
        <v>17</v>
      </c>
    </row>
    <row r="17" spans="1:12" x14ac:dyDescent="0.25">
      <c r="A17">
        <v>907</v>
      </c>
      <c r="B17">
        <v>1</v>
      </c>
      <c r="C17">
        <v>2</v>
      </c>
      <c r="D17" t="s">
        <v>36</v>
      </c>
      <c r="E17" t="s">
        <v>16</v>
      </c>
      <c r="F17">
        <v>24</v>
      </c>
      <c r="G17">
        <v>1</v>
      </c>
      <c r="H17">
        <v>0</v>
      </c>
      <c r="I17" t="s">
        <v>37</v>
      </c>
      <c r="J17">
        <v>27.720800000000001</v>
      </c>
      <c r="L17" t="s">
        <v>25</v>
      </c>
    </row>
    <row r="18" spans="1:12" x14ac:dyDescent="0.25">
      <c r="A18">
        <v>908</v>
      </c>
      <c r="B18">
        <v>0</v>
      </c>
      <c r="C18">
        <v>2</v>
      </c>
      <c r="D18" t="s">
        <v>38</v>
      </c>
      <c r="E18" t="s">
        <v>13</v>
      </c>
      <c r="F18">
        <v>35</v>
      </c>
      <c r="G18">
        <v>0</v>
      </c>
      <c r="H18">
        <v>0</v>
      </c>
      <c r="I18">
        <v>233734</v>
      </c>
      <c r="J18">
        <v>12.35</v>
      </c>
      <c r="L18" t="s">
        <v>14</v>
      </c>
    </row>
    <row r="19" spans="1:12" x14ac:dyDescent="0.25">
      <c r="A19">
        <v>909</v>
      </c>
      <c r="B19">
        <v>0</v>
      </c>
      <c r="C19">
        <v>3</v>
      </c>
      <c r="D19" t="s">
        <v>39</v>
      </c>
      <c r="E19" t="s">
        <v>13</v>
      </c>
      <c r="F19">
        <v>21</v>
      </c>
      <c r="G19">
        <v>0</v>
      </c>
      <c r="H19">
        <v>0</v>
      </c>
      <c r="I19">
        <v>2692</v>
      </c>
      <c r="J19">
        <v>7.2249999999999996</v>
      </c>
      <c r="L19" t="s">
        <v>25</v>
      </c>
    </row>
    <row r="20" spans="1:12" x14ac:dyDescent="0.25">
      <c r="A20">
        <v>910</v>
      </c>
      <c r="B20">
        <v>1</v>
      </c>
      <c r="C20">
        <v>3</v>
      </c>
      <c r="D20" t="s">
        <v>40</v>
      </c>
      <c r="E20" t="s">
        <v>16</v>
      </c>
      <c r="F20">
        <v>27</v>
      </c>
      <c r="G20">
        <v>1</v>
      </c>
      <c r="H20">
        <v>0</v>
      </c>
      <c r="I20" t="s">
        <v>41</v>
      </c>
      <c r="J20">
        <v>7.9249999999999998</v>
      </c>
      <c r="L20" t="s">
        <v>17</v>
      </c>
    </row>
    <row r="21" spans="1:12" x14ac:dyDescent="0.25">
      <c r="A21">
        <v>911</v>
      </c>
      <c r="B21">
        <v>1</v>
      </c>
      <c r="C21">
        <v>3</v>
      </c>
      <c r="D21" t="s">
        <v>42</v>
      </c>
      <c r="E21" t="s">
        <v>16</v>
      </c>
      <c r="F21">
        <v>45</v>
      </c>
      <c r="G21">
        <v>0</v>
      </c>
      <c r="H21">
        <v>0</v>
      </c>
      <c r="I21">
        <v>2696</v>
      </c>
      <c r="J21">
        <v>7.2249999999999996</v>
      </c>
      <c r="L21" t="s">
        <v>25</v>
      </c>
    </row>
    <row r="22" spans="1:12" x14ac:dyDescent="0.25">
      <c r="A22">
        <v>912</v>
      </c>
      <c r="B22">
        <v>0</v>
      </c>
      <c r="C22">
        <v>1</v>
      </c>
      <c r="D22" t="s">
        <v>43</v>
      </c>
      <c r="E22" t="s">
        <v>13</v>
      </c>
      <c r="F22">
        <v>55</v>
      </c>
      <c r="G22">
        <v>1</v>
      </c>
      <c r="H22">
        <v>0</v>
      </c>
      <c r="I22" t="s">
        <v>44</v>
      </c>
      <c r="J22">
        <v>59.4</v>
      </c>
      <c r="L22" t="s">
        <v>25</v>
      </c>
    </row>
    <row r="23" spans="1:12" x14ac:dyDescent="0.25">
      <c r="A23">
        <v>913</v>
      </c>
      <c r="B23">
        <v>0</v>
      </c>
      <c r="C23">
        <v>3</v>
      </c>
      <c r="D23" t="s">
        <v>45</v>
      </c>
      <c r="E23" t="s">
        <v>13</v>
      </c>
      <c r="F23">
        <v>9</v>
      </c>
      <c r="G23">
        <v>0</v>
      </c>
      <c r="H23">
        <v>1</v>
      </c>
      <c r="I23" t="s">
        <v>46</v>
      </c>
      <c r="J23">
        <v>3.1707999999999998</v>
      </c>
      <c r="L23" t="s">
        <v>17</v>
      </c>
    </row>
    <row r="24" spans="1:12" x14ac:dyDescent="0.25">
      <c r="A24">
        <v>914</v>
      </c>
      <c r="B24">
        <v>1</v>
      </c>
      <c r="C24">
        <v>1</v>
      </c>
      <c r="D24" t="s">
        <v>47</v>
      </c>
      <c r="E24" t="s">
        <v>16</v>
      </c>
      <c r="G24">
        <v>0</v>
      </c>
      <c r="H24">
        <v>0</v>
      </c>
      <c r="I24" t="s">
        <v>48</v>
      </c>
      <c r="J24">
        <v>31.683299999999999</v>
      </c>
      <c r="L24" t="s">
        <v>17</v>
      </c>
    </row>
    <row r="25" spans="1:12" x14ac:dyDescent="0.25">
      <c r="A25">
        <v>915</v>
      </c>
      <c r="B25">
        <v>0</v>
      </c>
      <c r="C25">
        <v>1</v>
      </c>
      <c r="D25" t="s">
        <v>49</v>
      </c>
      <c r="E25" t="s">
        <v>13</v>
      </c>
      <c r="F25">
        <v>21</v>
      </c>
      <c r="G25">
        <v>0</v>
      </c>
      <c r="H25">
        <v>1</v>
      </c>
      <c r="I25" t="s">
        <v>50</v>
      </c>
      <c r="J25">
        <v>61.379199999999997</v>
      </c>
      <c r="L25" t="s">
        <v>25</v>
      </c>
    </row>
    <row r="26" spans="1:12" x14ac:dyDescent="0.25">
      <c r="A26">
        <v>916</v>
      </c>
      <c r="B26">
        <v>1</v>
      </c>
      <c r="C26">
        <v>1</v>
      </c>
      <c r="D26" t="s">
        <v>51</v>
      </c>
      <c r="E26" t="s">
        <v>16</v>
      </c>
      <c r="F26">
        <v>48</v>
      </c>
      <c r="G26">
        <v>1</v>
      </c>
      <c r="H26">
        <v>3</v>
      </c>
      <c r="I26" t="s">
        <v>52</v>
      </c>
      <c r="J26">
        <v>262.375</v>
      </c>
      <c r="K26" t="s">
        <v>53</v>
      </c>
      <c r="L26" t="s">
        <v>25</v>
      </c>
    </row>
    <row r="27" spans="1:12" x14ac:dyDescent="0.25">
      <c r="A27">
        <v>917</v>
      </c>
      <c r="B27">
        <v>0</v>
      </c>
      <c r="C27">
        <v>3</v>
      </c>
      <c r="D27" t="s">
        <v>54</v>
      </c>
      <c r="E27" t="s">
        <v>13</v>
      </c>
      <c r="F27">
        <v>50</v>
      </c>
      <c r="G27">
        <v>1</v>
      </c>
      <c r="H27">
        <v>0</v>
      </c>
      <c r="I27" t="s">
        <v>55</v>
      </c>
      <c r="J27">
        <v>14.5</v>
      </c>
      <c r="L27" t="s">
        <v>17</v>
      </c>
    </row>
    <row r="28" spans="1:12" x14ac:dyDescent="0.25">
      <c r="A28">
        <v>918</v>
      </c>
      <c r="B28">
        <v>1</v>
      </c>
      <c r="C28">
        <v>1</v>
      </c>
      <c r="D28" t="s">
        <v>56</v>
      </c>
      <c r="E28" t="s">
        <v>16</v>
      </c>
      <c r="F28">
        <v>22</v>
      </c>
      <c r="G28">
        <v>0</v>
      </c>
      <c r="H28">
        <v>1</v>
      </c>
      <c r="I28">
        <v>113509</v>
      </c>
      <c r="J28">
        <v>61.979199999999999</v>
      </c>
      <c r="K28" t="s">
        <v>57</v>
      </c>
      <c r="L28" t="s">
        <v>25</v>
      </c>
    </row>
    <row r="29" spans="1:12" x14ac:dyDescent="0.25">
      <c r="A29">
        <v>919</v>
      </c>
      <c r="B29">
        <v>0</v>
      </c>
      <c r="C29">
        <v>3</v>
      </c>
      <c r="D29" t="s">
        <v>58</v>
      </c>
      <c r="E29" t="s">
        <v>13</v>
      </c>
      <c r="F29">
        <v>22.5</v>
      </c>
      <c r="G29">
        <v>0</v>
      </c>
      <c r="H29">
        <v>0</v>
      </c>
      <c r="I29">
        <v>2698</v>
      </c>
      <c r="J29">
        <v>7.2249999999999996</v>
      </c>
      <c r="L29" t="s">
        <v>25</v>
      </c>
    </row>
    <row r="30" spans="1:12" x14ac:dyDescent="0.25">
      <c r="A30">
        <v>920</v>
      </c>
      <c r="B30">
        <v>0</v>
      </c>
      <c r="C30">
        <v>1</v>
      </c>
      <c r="D30" t="s">
        <v>59</v>
      </c>
      <c r="E30" t="s">
        <v>13</v>
      </c>
      <c r="F30">
        <v>41</v>
      </c>
      <c r="G30">
        <v>0</v>
      </c>
      <c r="H30">
        <v>0</v>
      </c>
      <c r="I30">
        <v>113054</v>
      </c>
      <c r="J30">
        <v>30.5</v>
      </c>
      <c r="K30" t="s">
        <v>60</v>
      </c>
      <c r="L30" t="s">
        <v>17</v>
      </c>
    </row>
    <row r="31" spans="1:12" x14ac:dyDescent="0.25">
      <c r="A31">
        <v>921</v>
      </c>
      <c r="B31">
        <v>0</v>
      </c>
      <c r="C31">
        <v>3</v>
      </c>
      <c r="D31" t="s">
        <v>61</v>
      </c>
      <c r="E31" t="s">
        <v>13</v>
      </c>
      <c r="G31">
        <v>2</v>
      </c>
      <c r="H31">
        <v>0</v>
      </c>
      <c r="I31">
        <v>2662</v>
      </c>
      <c r="J31">
        <v>21.679200000000002</v>
      </c>
      <c r="L31" t="s">
        <v>25</v>
      </c>
    </row>
    <row r="32" spans="1:12" x14ac:dyDescent="0.25">
      <c r="A32">
        <v>922</v>
      </c>
      <c r="B32">
        <v>0</v>
      </c>
      <c r="C32">
        <v>2</v>
      </c>
      <c r="D32" t="s">
        <v>62</v>
      </c>
      <c r="E32" t="s">
        <v>13</v>
      </c>
      <c r="F32">
        <v>50</v>
      </c>
      <c r="G32">
        <v>1</v>
      </c>
      <c r="H32">
        <v>0</v>
      </c>
      <c r="I32" t="s">
        <v>63</v>
      </c>
      <c r="J32">
        <v>26</v>
      </c>
      <c r="L32" t="s">
        <v>17</v>
      </c>
    </row>
    <row r="33" spans="1:12" x14ac:dyDescent="0.25">
      <c r="A33">
        <v>923</v>
      </c>
      <c r="B33">
        <v>0</v>
      </c>
      <c r="C33">
        <v>2</v>
      </c>
      <c r="D33" t="s">
        <v>64</v>
      </c>
      <c r="E33" t="s">
        <v>13</v>
      </c>
      <c r="F33">
        <v>24</v>
      </c>
      <c r="G33">
        <v>2</v>
      </c>
      <c r="H33">
        <v>0</v>
      </c>
      <c r="I33" t="s">
        <v>65</v>
      </c>
      <c r="J33">
        <v>31.5</v>
      </c>
      <c r="L33" t="s">
        <v>17</v>
      </c>
    </row>
    <row r="34" spans="1:12" x14ac:dyDescent="0.25">
      <c r="A34">
        <v>924</v>
      </c>
      <c r="B34">
        <v>1</v>
      </c>
      <c r="C34">
        <v>3</v>
      </c>
      <c r="D34" t="s">
        <v>66</v>
      </c>
      <c r="E34" t="s">
        <v>16</v>
      </c>
      <c r="F34">
        <v>33</v>
      </c>
      <c r="G34">
        <v>1</v>
      </c>
      <c r="H34">
        <v>2</v>
      </c>
      <c r="I34" t="s">
        <v>67</v>
      </c>
      <c r="J34">
        <v>20.574999999999999</v>
      </c>
      <c r="L34" t="s">
        <v>17</v>
      </c>
    </row>
    <row r="35" spans="1:12" x14ac:dyDescent="0.25">
      <c r="A35">
        <v>925</v>
      </c>
      <c r="B35">
        <v>1</v>
      </c>
      <c r="C35">
        <v>3</v>
      </c>
      <c r="D35" t="s">
        <v>68</v>
      </c>
      <c r="E35" t="s">
        <v>16</v>
      </c>
      <c r="G35">
        <v>1</v>
      </c>
      <c r="H35">
        <v>2</v>
      </c>
      <c r="I35" t="s">
        <v>69</v>
      </c>
      <c r="J35">
        <v>23.45</v>
      </c>
      <c r="L35" t="s">
        <v>17</v>
      </c>
    </row>
    <row r="36" spans="1:12" x14ac:dyDescent="0.25">
      <c r="A36">
        <v>926</v>
      </c>
      <c r="B36">
        <v>0</v>
      </c>
      <c r="C36">
        <v>1</v>
      </c>
      <c r="D36" t="s">
        <v>70</v>
      </c>
      <c r="E36" t="s">
        <v>13</v>
      </c>
      <c r="F36">
        <v>30</v>
      </c>
      <c r="G36">
        <v>1</v>
      </c>
      <c r="H36">
        <v>0</v>
      </c>
      <c r="I36">
        <v>13236</v>
      </c>
      <c r="J36">
        <v>57.75</v>
      </c>
      <c r="K36" t="s">
        <v>71</v>
      </c>
      <c r="L36" t="s">
        <v>25</v>
      </c>
    </row>
    <row r="37" spans="1:12" x14ac:dyDescent="0.25">
      <c r="A37">
        <v>927</v>
      </c>
      <c r="B37">
        <v>0</v>
      </c>
      <c r="C37">
        <v>3</v>
      </c>
      <c r="D37" t="s">
        <v>72</v>
      </c>
      <c r="E37" t="s">
        <v>13</v>
      </c>
      <c r="F37">
        <v>18.5</v>
      </c>
      <c r="G37">
        <v>0</v>
      </c>
      <c r="H37">
        <v>0</v>
      </c>
      <c r="I37">
        <v>2682</v>
      </c>
      <c r="J37">
        <v>7.2291999999999996</v>
      </c>
      <c r="L37" t="s">
        <v>25</v>
      </c>
    </row>
    <row r="38" spans="1:12" x14ac:dyDescent="0.25">
      <c r="A38">
        <v>928</v>
      </c>
      <c r="B38">
        <v>1</v>
      </c>
      <c r="C38">
        <v>3</v>
      </c>
      <c r="D38" t="s">
        <v>73</v>
      </c>
      <c r="E38" t="s">
        <v>16</v>
      </c>
      <c r="G38">
        <v>0</v>
      </c>
      <c r="H38">
        <v>0</v>
      </c>
      <c r="I38">
        <v>342712</v>
      </c>
      <c r="J38">
        <v>8.0500000000000007</v>
      </c>
      <c r="L38" t="s">
        <v>17</v>
      </c>
    </row>
    <row r="39" spans="1:12" x14ac:dyDescent="0.25">
      <c r="A39">
        <v>929</v>
      </c>
      <c r="B39">
        <v>1</v>
      </c>
      <c r="C39">
        <v>3</v>
      </c>
      <c r="D39" t="s">
        <v>74</v>
      </c>
      <c r="E39" t="s">
        <v>16</v>
      </c>
      <c r="F39">
        <v>21</v>
      </c>
      <c r="G39">
        <v>0</v>
      </c>
      <c r="H39">
        <v>0</v>
      </c>
      <c r="I39">
        <v>315087</v>
      </c>
      <c r="J39">
        <v>8.6624999999999996</v>
      </c>
      <c r="L39" t="s">
        <v>17</v>
      </c>
    </row>
    <row r="40" spans="1:12" x14ac:dyDescent="0.25">
      <c r="A40">
        <v>930</v>
      </c>
      <c r="B40">
        <v>0</v>
      </c>
      <c r="C40">
        <v>3</v>
      </c>
      <c r="D40" t="s">
        <v>75</v>
      </c>
      <c r="E40" t="s">
        <v>13</v>
      </c>
      <c r="F40">
        <v>25</v>
      </c>
      <c r="G40">
        <v>0</v>
      </c>
      <c r="H40">
        <v>0</v>
      </c>
      <c r="I40">
        <v>345768</v>
      </c>
      <c r="J40">
        <v>9.5</v>
      </c>
      <c r="L40" t="s">
        <v>17</v>
      </c>
    </row>
    <row r="41" spans="1:12" x14ac:dyDescent="0.25">
      <c r="A41">
        <v>931</v>
      </c>
      <c r="B41">
        <v>0</v>
      </c>
      <c r="C41">
        <v>3</v>
      </c>
      <c r="D41" t="s">
        <v>76</v>
      </c>
      <c r="E41" t="s">
        <v>13</v>
      </c>
      <c r="G41">
        <v>0</v>
      </c>
      <c r="H41">
        <v>0</v>
      </c>
      <c r="I41">
        <v>1601</v>
      </c>
      <c r="J41">
        <v>56.495800000000003</v>
      </c>
      <c r="L41" t="s">
        <v>17</v>
      </c>
    </row>
    <row r="42" spans="1:12" x14ac:dyDescent="0.25">
      <c r="A42">
        <v>932</v>
      </c>
      <c r="B42">
        <v>0</v>
      </c>
      <c r="C42">
        <v>3</v>
      </c>
      <c r="D42" t="s">
        <v>77</v>
      </c>
      <c r="E42" t="s">
        <v>13</v>
      </c>
      <c r="F42">
        <v>39</v>
      </c>
      <c r="G42">
        <v>0</v>
      </c>
      <c r="H42">
        <v>1</v>
      </c>
      <c r="I42">
        <v>349256</v>
      </c>
      <c r="J42">
        <v>13.416700000000001</v>
      </c>
      <c r="L42" t="s">
        <v>25</v>
      </c>
    </row>
    <row r="43" spans="1:12" x14ac:dyDescent="0.25">
      <c r="A43">
        <v>933</v>
      </c>
      <c r="B43">
        <v>0</v>
      </c>
      <c r="C43">
        <v>1</v>
      </c>
      <c r="D43" t="s">
        <v>78</v>
      </c>
      <c r="E43" t="s">
        <v>13</v>
      </c>
      <c r="G43">
        <v>0</v>
      </c>
      <c r="H43">
        <v>0</v>
      </c>
      <c r="I43">
        <v>113778</v>
      </c>
      <c r="J43">
        <v>26.55</v>
      </c>
      <c r="K43" t="s">
        <v>79</v>
      </c>
      <c r="L43" t="s">
        <v>17</v>
      </c>
    </row>
    <row r="44" spans="1:12" x14ac:dyDescent="0.25">
      <c r="A44">
        <v>934</v>
      </c>
      <c r="B44">
        <v>0</v>
      </c>
      <c r="C44">
        <v>3</v>
      </c>
      <c r="D44" t="s">
        <v>80</v>
      </c>
      <c r="E44" t="s">
        <v>13</v>
      </c>
      <c r="F44">
        <v>41</v>
      </c>
      <c r="G44">
        <v>0</v>
      </c>
      <c r="H44">
        <v>0</v>
      </c>
      <c r="I44" t="s">
        <v>81</v>
      </c>
      <c r="J44">
        <v>7.85</v>
      </c>
      <c r="L44" t="s">
        <v>17</v>
      </c>
    </row>
    <row r="45" spans="1:12" x14ac:dyDescent="0.25">
      <c r="A45">
        <v>935</v>
      </c>
      <c r="B45">
        <v>1</v>
      </c>
      <c r="C45">
        <v>2</v>
      </c>
      <c r="D45" t="s">
        <v>82</v>
      </c>
      <c r="E45" t="s">
        <v>16</v>
      </c>
      <c r="F45">
        <v>30</v>
      </c>
      <c r="G45">
        <v>0</v>
      </c>
      <c r="H45">
        <v>0</v>
      </c>
      <c r="I45">
        <v>237249</v>
      </c>
      <c r="J45">
        <v>13</v>
      </c>
      <c r="L45" t="s">
        <v>17</v>
      </c>
    </row>
    <row r="46" spans="1:12" x14ac:dyDescent="0.25">
      <c r="A46">
        <v>936</v>
      </c>
      <c r="B46">
        <v>1</v>
      </c>
      <c r="C46">
        <v>1</v>
      </c>
      <c r="D46" t="s">
        <v>83</v>
      </c>
      <c r="E46" t="s">
        <v>16</v>
      </c>
      <c r="F46">
        <v>45</v>
      </c>
      <c r="G46">
        <v>1</v>
      </c>
      <c r="H46">
        <v>0</v>
      </c>
      <c r="I46">
        <v>11753</v>
      </c>
      <c r="J46">
        <v>52.554200000000002</v>
      </c>
      <c r="K46" t="s">
        <v>84</v>
      </c>
      <c r="L46" t="s">
        <v>17</v>
      </c>
    </row>
    <row r="47" spans="1:12" x14ac:dyDescent="0.25">
      <c r="A47">
        <v>937</v>
      </c>
      <c r="B47">
        <v>0</v>
      </c>
      <c r="C47">
        <v>3</v>
      </c>
      <c r="D47" t="s">
        <v>85</v>
      </c>
      <c r="E47" t="s">
        <v>13</v>
      </c>
      <c r="F47">
        <v>25</v>
      </c>
      <c r="G47">
        <v>0</v>
      </c>
      <c r="H47">
        <v>0</v>
      </c>
      <c r="I47" t="s">
        <v>86</v>
      </c>
      <c r="J47">
        <v>7.9249999999999998</v>
      </c>
      <c r="L47" t="s">
        <v>17</v>
      </c>
    </row>
    <row r="48" spans="1:12" x14ac:dyDescent="0.25">
      <c r="A48">
        <v>938</v>
      </c>
      <c r="B48">
        <v>0</v>
      </c>
      <c r="C48">
        <v>1</v>
      </c>
      <c r="D48" t="s">
        <v>87</v>
      </c>
      <c r="E48" t="s">
        <v>13</v>
      </c>
      <c r="F48">
        <v>45</v>
      </c>
      <c r="G48">
        <v>0</v>
      </c>
      <c r="H48">
        <v>0</v>
      </c>
      <c r="I48" t="s">
        <v>88</v>
      </c>
      <c r="J48">
        <v>29.7</v>
      </c>
      <c r="K48" t="s">
        <v>89</v>
      </c>
      <c r="L48" t="s">
        <v>25</v>
      </c>
    </row>
    <row r="49" spans="1:12" x14ac:dyDescent="0.25">
      <c r="A49">
        <v>939</v>
      </c>
      <c r="B49">
        <v>0</v>
      </c>
      <c r="C49">
        <v>3</v>
      </c>
      <c r="D49" t="s">
        <v>90</v>
      </c>
      <c r="E49" t="s">
        <v>13</v>
      </c>
      <c r="G49">
        <v>0</v>
      </c>
      <c r="H49">
        <v>0</v>
      </c>
      <c r="I49">
        <v>370374</v>
      </c>
      <c r="J49">
        <v>7.75</v>
      </c>
      <c r="L49" t="s">
        <v>14</v>
      </c>
    </row>
    <row r="50" spans="1:12" x14ac:dyDescent="0.25">
      <c r="A50">
        <v>940</v>
      </c>
      <c r="B50">
        <v>1</v>
      </c>
      <c r="C50">
        <v>1</v>
      </c>
      <c r="D50" t="s">
        <v>91</v>
      </c>
      <c r="E50" t="s">
        <v>16</v>
      </c>
      <c r="F50">
        <v>60</v>
      </c>
      <c r="G50">
        <v>0</v>
      </c>
      <c r="H50">
        <v>0</v>
      </c>
      <c r="I50">
        <v>11813</v>
      </c>
      <c r="J50">
        <v>76.291700000000006</v>
      </c>
      <c r="K50" t="s">
        <v>92</v>
      </c>
      <c r="L50" t="s">
        <v>25</v>
      </c>
    </row>
    <row r="51" spans="1:12" x14ac:dyDescent="0.25">
      <c r="A51">
        <v>941</v>
      </c>
      <c r="B51">
        <v>1</v>
      </c>
      <c r="C51">
        <v>3</v>
      </c>
      <c r="D51" t="s">
        <v>93</v>
      </c>
      <c r="E51" t="s">
        <v>16</v>
      </c>
      <c r="F51">
        <v>36</v>
      </c>
      <c r="G51">
        <v>0</v>
      </c>
      <c r="H51">
        <v>2</v>
      </c>
      <c r="I51" t="s">
        <v>94</v>
      </c>
      <c r="J51">
        <v>15.9</v>
      </c>
      <c r="L51" t="s">
        <v>17</v>
      </c>
    </row>
    <row r="52" spans="1:12" x14ac:dyDescent="0.25">
      <c r="A52">
        <v>942</v>
      </c>
      <c r="B52">
        <v>0</v>
      </c>
      <c r="C52">
        <v>1</v>
      </c>
      <c r="D52" t="s">
        <v>95</v>
      </c>
      <c r="E52" t="s">
        <v>13</v>
      </c>
      <c r="F52">
        <v>24</v>
      </c>
      <c r="G52">
        <v>1</v>
      </c>
      <c r="H52">
        <v>0</v>
      </c>
      <c r="I52">
        <v>13695</v>
      </c>
      <c r="J52">
        <v>60</v>
      </c>
      <c r="K52" t="s">
        <v>96</v>
      </c>
      <c r="L52" t="s">
        <v>17</v>
      </c>
    </row>
    <row r="53" spans="1:12" x14ac:dyDescent="0.25">
      <c r="A53">
        <v>943</v>
      </c>
      <c r="B53">
        <v>0</v>
      </c>
      <c r="C53">
        <v>2</v>
      </c>
      <c r="D53" t="s">
        <v>97</v>
      </c>
      <c r="E53" t="s">
        <v>13</v>
      </c>
      <c r="F53">
        <v>27</v>
      </c>
      <c r="G53">
        <v>0</v>
      </c>
      <c r="H53">
        <v>0</v>
      </c>
      <c r="I53" t="s">
        <v>98</v>
      </c>
      <c r="J53">
        <v>15.033300000000001</v>
      </c>
      <c r="L53" t="s">
        <v>25</v>
      </c>
    </row>
    <row r="54" spans="1:12" x14ac:dyDescent="0.25">
      <c r="A54">
        <v>944</v>
      </c>
      <c r="B54">
        <v>1</v>
      </c>
      <c r="C54">
        <v>2</v>
      </c>
      <c r="D54" t="s">
        <v>99</v>
      </c>
      <c r="E54" t="s">
        <v>16</v>
      </c>
      <c r="F54">
        <v>20</v>
      </c>
      <c r="G54">
        <v>2</v>
      </c>
      <c r="H54">
        <v>1</v>
      </c>
      <c r="I54">
        <v>29105</v>
      </c>
      <c r="J54">
        <v>23</v>
      </c>
      <c r="L54" t="s">
        <v>17</v>
      </c>
    </row>
    <row r="55" spans="1:12" x14ac:dyDescent="0.25">
      <c r="A55">
        <v>945</v>
      </c>
      <c r="B55">
        <v>1</v>
      </c>
      <c r="C55">
        <v>1</v>
      </c>
      <c r="D55" t="s">
        <v>100</v>
      </c>
      <c r="E55" t="s">
        <v>16</v>
      </c>
      <c r="F55">
        <v>28</v>
      </c>
      <c r="G55">
        <v>3</v>
      </c>
      <c r="H55">
        <v>2</v>
      </c>
      <c r="I55">
        <v>19950</v>
      </c>
      <c r="J55">
        <v>263</v>
      </c>
      <c r="K55" t="s">
        <v>101</v>
      </c>
      <c r="L55" t="s">
        <v>17</v>
      </c>
    </row>
    <row r="56" spans="1:12" x14ac:dyDescent="0.25">
      <c r="A56">
        <v>946</v>
      </c>
      <c r="B56">
        <v>0</v>
      </c>
      <c r="C56">
        <v>2</v>
      </c>
      <c r="D56" t="s">
        <v>102</v>
      </c>
      <c r="E56" t="s">
        <v>13</v>
      </c>
      <c r="G56">
        <v>0</v>
      </c>
      <c r="H56">
        <v>0</v>
      </c>
      <c r="I56" t="s">
        <v>103</v>
      </c>
      <c r="J56">
        <v>15.5792</v>
      </c>
      <c r="L56" t="s">
        <v>25</v>
      </c>
    </row>
    <row r="57" spans="1:12" x14ac:dyDescent="0.25">
      <c r="A57">
        <v>947</v>
      </c>
      <c r="B57">
        <v>0</v>
      </c>
      <c r="C57">
        <v>3</v>
      </c>
      <c r="D57" t="s">
        <v>104</v>
      </c>
      <c r="E57" t="s">
        <v>13</v>
      </c>
      <c r="F57">
        <v>10</v>
      </c>
      <c r="G57">
        <v>4</v>
      </c>
      <c r="H57">
        <v>1</v>
      </c>
      <c r="I57">
        <v>382652</v>
      </c>
      <c r="J57">
        <v>29.125</v>
      </c>
      <c r="L57" t="s">
        <v>14</v>
      </c>
    </row>
    <row r="58" spans="1:12" x14ac:dyDescent="0.25">
      <c r="A58">
        <v>948</v>
      </c>
      <c r="B58">
        <v>0</v>
      </c>
      <c r="C58">
        <v>3</v>
      </c>
      <c r="D58" t="s">
        <v>105</v>
      </c>
      <c r="E58" t="s">
        <v>13</v>
      </c>
      <c r="F58">
        <v>35</v>
      </c>
      <c r="G58">
        <v>0</v>
      </c>
      <c r="H58">
        <v>0</v>
      </c>
      <c r="I58">
        <v>349230</v>
      </c>
      <c r="J58">
        <v>7.8958000000000004</v>
      </c>
      <c r="L58" t="s">
        <v>17</v>
      </c>
    </row>
    <row r="59" spans="1:12" x14ac:dyDescent="0.25">
      <c r="A59">
        <v>949</v>
      </c>
      <c r="B59">
        <v>0</v>
      </c>
      <c r="C59">
        <v>3</v>
      </c>
      <c r="D59" t="s">
        <v>106</v>
      </c>
      <c r="E59" t="s">
        <v>13</v>
      </c>
      <c r="F59">
        <v>25</v>
      </c>
      <c r="G59">
        <v>0</v>
      </c>
      <c r="H59">
        <v>0</v>
      </c>
      <c r="I59">
        <v>348122</v>
      </c>
      <c r="J59">
        <v>7.65</v>
      </c>
      <c r="K59" t="s">
        <v>107</v>
      </c>
      <c r="L59" t="s">
        <v>17</v>
      </c>
    </row>
    <row r="60" spans="1:12" x14ac:dyDescent="0.25">
      <c r="A60">
        <v>950</v>
      </c>
      <c r="B60">
        <v>0</v>
      </c>
      <c r="C60">
        <v>3</v>
      </c>
      <c r="D60" t="s">
        <v>108</v>
      </c>
      <c r="E60" t="s">
        <v>13</v>
      </c>
      <c r="G60">
        <v>1</v>
      </c>
      <c r="H60">
        <v>0</v>
      </c>
      <c r="I60">
        <v>386525</v>
      </c>
      <c r="J60">
        <v>16.100000000000001</v>
      </c>
      <c r="L60" t="s">
        <v>17</v>
      </c>
    </row>
    <row r="61" spans="1:12" x14ac:dyDescent="0.25">
      <c r="A61">
        <v>951</v>
      </c>
      <c r="B61">
        <v>1</v>
      </c>
      <c r="C61">
        <v>1</v>
      </c>
      <c r="D61" t="s">
        <v>109</v>
      </c>
      <c r="E61" t="s">
        <v>16</v>
      </c>
      <c r="F61">
        <v>36</v>
      </c>
      <c r="G61">
        <v>0</v>
      </c>
      <c r="H61">
        <v>0</v>
      </c>
      <c r="I61" t="s">
        <v>52</v>
      </c>
      <c r="J61">
        <v>262.375</v>
      </c>
      <c r="K61" t="s">
        <v>110</v>
      </c>
      <c r="L61" t="s">
        <v>25</v>
      </c>
    </row>
    <row r="62" spans="1:12" x14ac:dyDescent="0.25">
      <c r="A62">
        <v>952</v>
      </c>
      <c r="B62">
        <v>0</v>
      </c>
      <c r="C62">
        <v>3</v>
      </c>
      <c r="D62" t="s">
        <v>111</v>
      </c>
      <c r="E62" t="s">
        <v>13</v>
      </c>
      <c r="F62">
        <v>17</v>
      </c>
      <c r="G62">
        <v>0</v>
      </c>
      <c r="H62">
        <v>0</v>
      </c>
      <c r="I62">
        <v>349232</v>
      </c>
      <c r="J62">
        <v>7.8958000000000004</v>
      </c>
      <c r="L62" t="s">
        <v>17</v>
      </c>
    </row>
    <row r="63" spans="1:12" x14ac:dyDescent="0.25">
      <c r="A63">
        <v>953</v>
      </c>
      <c r="B63">
        <v>0</v>
      </c>
      <c r="C63">
        <v>2</v>
      </c>
      <c r="D63" t="s">
        <v>112</v>
      </c>
      <c r="E63" t="s">
        <v>13</v>
      </c>
      <c r="F63">
        <v>32</v>
      </c>
      <c r="G63">
        <v>0</v>
      </c>
      <c r="H63">
        <v>0</v>
      </c>
      <c r="I63">
        <v>237216</v>
      </c>
      <c r="J63">
        <v>13.5</v>
      </c>
      <c r="L63" t="s">
        <v>17</v>
      </c>
    </row>
    <row r="64" spans="1:12" x14ac:dyDescent="0.25">
      <c r="A64">
        <v>954</v>
      </c>
      <c r="B64">
        <v>0</v>
      </c>
      <c r="C64">
        <v>3</v>
      </c>
      <c r="D64" t="s">
        <v>113</v>
      </c>
      <c r="E64" t="s">
        <v>13</v>
      </c>
      <c r="F64">
        <v>18</v>
      </c>
      <c r="G64">
        <v>0</v>
      </c>
      <c r="H64">
        <v>0</v>
      </c>
      <c r="I64">
        <v>347090</v>
      </c>
      <c r="J64">
        <v>7.75</v>
      </c>
      <c r="L64" t="s">
        <v>17</v>
      </c>
    </row>
    <row r="65" spans="1:12" x14ac:dyDescent="0.25">
      <c r="A65">
        <v>955</v>
      </c>
      <c r="B65">
        <v>1</v>
      </c>
      <c r="C65">
        <v>3</v>
      </c>
      <c r="D65" t="s">
        <v>114</v>
      </c>
      <c r="E65" t="s">
        <v>16</v>
      </c>
      <c r="F65">
        <v>22</v>
      </c>
      <c r="G65">
        <v>0</v>
      </c>
      <c r="H65">
        <v>0</v>
      </c>
      <c r="I65">
        <v>334914</v>
      </c>
      <c r="J65">
        <v>7.7249999999999996</v>
      </c>
      <c r="L65" t="s">
        <v>14</v>
      </c>
    </row>
    <row r="66" spans="1:12" x14ac:dyDescent="0.25">
      <c r="A66">
        <v>956</v>
      </c>
      <c r="B66">
        <v>0</v>
      </c>
      <c r="C66">
        <v>1</v>
      </c>
      <c r="D66" t="s">
        <v>115</v>
      </c>
      <c r="E66" t="s">
        <v>13</v>
      </c>
      <c r="F66">
        <v>13</v>
      </c>
      <c r="G66">
        <v>2</v>
      </c>
      <c r="H66">
        <v>2</v>
      </c>
      <c r="I66" t="s">
        <v>52</v>
      </c>
      <c r="J66">
        <v>262.375</v>
      </c>
      <c r="K66" t="s">
        <v>53</v>
      </c>
      <c r="L66" t="s">
        <v>25</v>
      </c>
    </row>
    <row r="67" spans="1:12" x14ac:dyDescent="0.25">
      <c r="A67">
        <v>957</v>
      </c>
      <c r="B67">
        <v>1</v>
      </c>
      <c r="C67">
        <v>2</v>
      </c>
      <c r="D67" t="s">
        <v>116</v>
      </c>
      <c r="E67" t="s">
        <v>16</v>
      </c>
      <c r="G67">
        <v>0</v>
      </c>
      <c r="H67">
        <v>0</v>
      </c>
      <c r="I67" t="s">
        <v>117</v>
      </c>
      <c r="J67">
        <v>21</v>
      </c>
      <c r="L67" t="s">
        <v>17</v>
      </c>
    </row>
    <row r="68" spans="1:12" x14ac:dyDescent="0.25">
      <c r="A68">
        <v>958</v>
      </c>
      <c r="B68">
        <v>1</v>
      </c>
      <c r="C68">
        <v>3</v>
      </c>
      <c r="D68" t="s">
        <v>118</v>
      </c>
      <c r="E68" t="s">
        <v>16</v>
      </c>
      <c r="F68">
        <v>18</v>
      </c>
      <c r="G68">
        <v>0</v>
      </c>
      <c r="H68">
        <v>0</v>
      </c>
      <c r="I68">
        <v>330963</v>
      </c>
      <c r="J68">
        <v>7.8792</v>
      </c>
      <c r="L68" t="s">
        <v>14</v>
      </c>
    </row>
    <row r="69" spans="1:12" x14ac:dyDescent="0.25">
      <c r="A69">
        <v>959</v>
      </c>
      <c r="B69">
        <v>0</v>
      </c>
      <c r="C69">
        <v>1</v>
      </c>
      <c r="D69" t="s">
        <v>119</v>
      </c>
      <c r="E69" t="s">
        <v>13</v>
      </c>
      <c r="F69">
        <v>47</v>
      </c>
      <c r="G69">
        <v>0</v>
      </c>
      <c r="H69">
        <v>0</v>
      </c>
      <c r="I69">
        <v>113796</v>
      </c>
      <c r="J69">
        <v>42.4</v>
      </c>
      <c r="L69" t="s">
        <v>17</v>
      </c>
    </row>
    <row r="70" spans="1:12" x14ac:dyDescent="0.25">
      <c r="A70">
        <v>960</v>
      </c>
      <c r="B70">
        <v>0</v>
      </c>
      <c r="C70">
        <v>1</v>
      </c>
      <c r="D70" t="s">
        <v>120</v>
      </c>
      <c r="E70" t="s">
        <v>13</v>
      </c>
      <c r="F70">
        <v>31</v>
      </c>
      <c r="G70">
        <v>0</v>
      </c>
      <c r="H70">
        <v>0</v>
      </c>
      <c r="I70">
        <v>2543</v>
      </c>
      <c r="J70">
        <v>28.537500000000001</v>
      </c>
      <c r="K70" t="s">
        <v>121</v>
      </c>
      <c r="L70" t="s">
        <v>25</v>
      </c>
    </row>
    <row r="71" spans="1:12" x14ac:dyDescent="0.25">
      <c r="A71">
        <v>961</v>
      </c>
      <c r="B71">
        <v>1</v>
      </c>
      <c r="C71">
        <v>1</v>
      </c>
      <c r="D71" t="s">
        <v>122</v>
      </c>
      <c r="E71" t="s">
        <v>16</v>
      </c>
      <c r="F71">
        <v>60</v>
      </c>
      <c r="G71">
        <v>1</v>
      </c>
      <c r="H71">
        <v>4</v>
      </c>
      <c r="I71">
        <v>19950</v>
      </c>
      <c r="J71">
        <v>263</v>
      </c>
      <c r="K71" t="s">
        <v>101</v>
      </c>
      <c r="L71" t="s">
        <v>17</v>
      </c>
    </row>
    <row r="72" spans="1:12" x14ac:dyDescent="0.25">
      <c r="A72">
        <v>962</v>
      </c>
      <c r="B72">
        <v>1</v>
      </c>
      <c r="C72">
        <v>3</v>
      </c>
      <c r="D72" t="s">
        <v>123</v>
      </c>
      <c r="E72" t="s">
        <v>16</v>
      </c>
      <c r="F72">
        <v>24</v>
      </c>
      <c r="G72">
        <v>0</v>
      </c>
      <c r="H72">
        <v>0</v>
      </c>
      <c r="I72">
        <v>382653</v>
      </c>
      <c r="J72">
        <v>7.75</v>
      </c>
      <c r="L72" t="s">
        <v>14</v>
      </c>
    </row>
    <row r="73" spans="1:12" x14ac:dyDescent="0.25">
      <c r="A73">
        <v>963</v>
      </c>
      <c r="B73">
        <v>0</v>
      </c>
      <c r="C73">
        <v>3</v>
      </c>
      <c r="D73" t="s">
        <v>124</v>
      </c>
      <c r="E73" t="s">
        <v>13</v>
      </c>
      <c r="F73">
        <v>21</v>
      </c>
      <c r="G73">
        <v>0</v>
      </c>
      <c r="H73">
        <v>0</v>
      </c>
      <c r="I73">
        <v>349211</v>
      </c>
      <c r="J73">
        <v>7.8958000000000004</v>
      </c>
      <c r="L73" t="s">
        <v>17</v>
      </c>
    </row>
    <row r="74" spans="1:12" x14ac:dyDescent="0.25">
      <c r="A74">
        <v>964</v>
      </c>
      <c r="B74">
        <v>1</v>
      </c>
      <c r="C74">
        <v>3</v>
      </c>
      <c r="D74" t="s">
        <v>125</v>
      </c>
      <c r="E74" t="s">
        <v>16</v>
      </c>
      <c r="F74">
        <v>29</v>
      </c>
      <c r="G74">
        <v>0</v>
      </c>
      <c r="H74">
        <v>0</v>
      </c>
      <c r="I74">
        <v>3101297</v>
      </c>
      <c r="J74">
        <v>7.9249999999999998</v>
      </c>
      <c r="L74" t="s">
        <v>17</v>
      </c>
    </row>
    <row r="75" spans="1:12" x14ac:dyDescent="0.25">
      <c r="A75">
        <v>965</v>
      </c>
      <c r="B75">
        <v>0</v>
      </c>
      <c r="C75">
        <v>1</v>
      </c>
      <c r="D75" t="s">
        <v>126</v>
      </c>
      <c r="E75" t="s">
        <v>13</v>
      </c>
      <c r="F75">
        <v>28.5</v>
      </c>
      <c r="G75">
        <v>0</v>
      </c>
      <c r="H75">
        <v>0</v>
      </c>
      <c r="I75" t="s">
        <v>127</v>
      </c>
      <c r="J75">
        <v>27.720800000000001</v>
      </c>
      <c r="K75" t="s">
        <v>128</v>
      </c>
      <c r="L75" t="s">
        <v>25</v>
      </c>
    </row>
    <row r="76" spans="1:12" x14ac:dyDescent="0.25">
      <c r="A76">
        <v>966</v>
      </c>
      <c r="B76">
        <v>1</v>
      </c>
      <c r="C76">
        <v>1</v>
      </c>
      <c r="D76" t="s">
        <v>129</v>
      </c>
      <c r="E76" t="s">
        <v>16</v>
      </c>
      <c r="F76">
        <v>35</v>
      </c>
      <c r="G76">
        <v>0</v>
      </c>
      <c r="H76">
        <v>0</v>
      </c>
      <c r="I76">
        <v>113503</v>
      </c>
      <c r="J76">
        <v>211.5</v>
      </c>
      <c r="K76" t="s">
        <v>130</v>
      </c>
      <c r="L76" t="s">
        <v>25</v>
      </c>
    </row>
    <row r="77" spans="1:12" x14ac:dyDescent="0.25">
      <c r="A77">
        <v>967</v>
      </c>
      <c r="B77">
        <v>0</v>
      </c>
      <c r="C77">
        <v>1</v>
      </c>
      <c r="D77" t="s">
        <v>131</v>
      </c>
      <c r="E77" t="s">
        <v>13</v>
      </c>
      <c r="F77">
        <v>32.5</v>
      </c>
      <c r="G77">
        <v>0</v>
      </c>
      <c r="H77">
        <v>0</v>
      </c>
      <c r="I77">
        <v>113503</v>
      </c>
      <c r="J77">
        <v>211.5</v>
      </c>
      <c r="K77" t="s">
        <v>132</v>
      </c>
      <c r="L77" t="s">
        <v>25</v>
      </c>
    </row>
    <row r="78" spans="1:12" x14ac:dyDescent="0.25">
      <c r="A78">
        <v>968</v>
      </c>
      <c r="B78">
        <v>0</v>
      </c>
      <c r="C78">
        <v>3</v>
      </c>
      <c r="D78" t="s">
        <v>133</v>
      </c>
      <c r="E78" t="s">
        <v>13</v>
      </c>
      <c r="G78">
        <v>0</v>
      </c>
      <c r="H78">
        <v>0</v>
      </c>
      <c r="I78">
        <v>359306</v>
      </c>
      <c r="J78">
        <v>8.0500000000000007</v>
      </c>
      <c r="L78" t="s">
        <v>17</v>
      </c>
    </row>
    <row r="79" spans="1:12" x14ac:dyDescent="0.25">
      <c r="A79">
        <v>969</v>
      </c>
      <c r="B79">
        <v>1</v>
      </c>
      <c r="C79">
        <v>1</v>
      </c>
      <c r="D79" t="s">
        <v>134</v>
      </c>
      <c r="E79" t="s">
        <v>16</v>
      </c>
      <c r="F79">
        <v>55</v>
      </c>
      <c r="G79">
        <v>2</v>
      </c>
      <c r="H79">
        <v>0</v>
      </c>
      <c r="I79">
        <v>11770</v>
      </c>
      <c r="J79">
        <v>25.7</v>
      </c>
      <c r="K79" t="s">
        <v>135</v>
      </c>
      <c r="L79" t="s">
        <v>17</v>
      </c>
    </row>
    <row r="80" spans="1:12" x14ac:dyDescent="0.25">
      <c r="A80">
        <v>970</v>
      </c>
      <c r="B80">
        <v>0</v>
      </c>
      <c r="C80">
        <v>2</v>
      </c>
      <c r="D80" t="s">
        <v>136</v>
      </c>
      <c r="E80" t="s">
        <v>13</v>
      </c>
      <c r="F80">
        <v>30</v>
      </c>
      <c r="G80">
        <v>0</v>
      </c>
      <c r="H80">
        <v>0</v>
      </c>
      <c r="I80">
        <v>248744</v>
      </c>
      <c r="J80">
        <v>13</v>
      </c>
      <c r="L80" t="s">
        <v>17</v>
      </c>
    </row>
    <row r="81" spans="1:12" x14ac:dyDescent="0.25">
      <c r="A81">
        <v>971</v>
      </c>
      <c r="B81">
        <v>1</v>
      </c>
      <c r="C81">
        <v>3</v>
      </c>
      <c r="D81" t="s">
        <v>137</v>
      </c>
      <c r="E81" t="s">
        <v>16</v>
      </c>
      <c r="F81">
        <v>24</v>
      </c>
      <c r="G81">
        <v>0</v>
      </c>
      <c r="H81">
        <v>0</v>
      </c>
      <c r="I81">
        <v>368702</v>
      </c>
      <c r="J81">
        <v>7.75</v>
      </c>
      <c r="L81" t="s">
        <v>14</v>
      </c>
    </row>
    <row r="82" spans="1:12" x14ac:dyDescent="0.25">
      <c r="A82">
        <v>972</v>
      </c>
      <c r="B82">
        <v>0</v>
      </c>
      <c r="C82">
        <v>3</v>
      </c>
      <c r="D82" t="s">
        <v>138</v>
      </c>
      <c r="E82" t="s">
        <v>13</v>
      </c>
      <c r="F82">
        <v>6</v>
      </c>
      <c r="G82">
        <v>1</v>
      </c>
      <c r="H82">
        <v>1</v>
      </c>
      <c r="I82">
        <v>2678</v>
      </c>
      <c r="J82">
        <v>15.245799999999999</v>
      </c>
      <c r="L82" t="s">
        <v>25</v>
      </c>
    </row>
    <row r="83" spans="1:12" x14ac:dyDescent="0.25">
      <c r="A83">
        <v>973</v>
      </c>
      <c r="B83">
        <v>0</v>
      </c>
      <c r="C83">
        <v>1</v>
      </c>
      <c r="D83" t="s">
        <v>139</v>
      </c>
      <c r="E83" t="s">
        <v>13</v>
      </c>
      <c r="F83">
        <v>67</v>
      </c>
      <c r="G83">
        <v>1</v>
      </c>
      <c r="H83">
        <v>0</v>
      </c>
      <c r="I83" t="s">
        <v>140</v>
      </c>
      <c r="J83">
        <v>221.7792</v>
      </c>
      <c r="K83" t="s">
        <v>141</v>
      </c>
      <c r="L83" t="s">
        <v>17</v>
      </c>
    </row>
    <row r="84" spans="1:12" x14ac:dyDescent="0.25">
      <c r="A84">
        <v>974</v>
      </c>
      <c r="B84">
        <v>0</v>
      </c>
      <c r="C84">
        <v>1</v>
      </c>
      <c r="D84" t="s">
        <v>142</v>
      </c>
      <c r="E84" t="s">
        <v>13</v>
      </c>
      <c r="F84">
        <v>49</v>
      </c>
      <c r="G84">
        <v>0</v>
      </c>
      <c r="H84">
        <v>0</v>
      </c>
      <c r="I84">
        <v>19924</v>
      </c>
      <c r="J84">
        <v>26</v>
      </c>
      <c r="L84" t="s">
        <v>17</v>
      </c>
    </row>
    <row r="85" spans="1:12" x14ac:dyDescent="0.25">
      <c r="A85">
        <v>975</v>
      </c>
      <c r="B85">
        <v>0</v>
      </c>
      <c r="C85">
        <v>3</v>
      </c>
      <c r="D85" t="s">
        <v>143</v>
      </c>
      <c r="E85" t="s">
        <v>13</v>
      </c>
      <c r="G85">
        <v>0</v>
      </c>
      <c r="H85">
        <v>0</v>
      </c>
      <c r="I85">
        <v>349238</v>
      </c>
      <c r="J85">
        <v>7.8958000000000004</v>
      </c>
      <c r="L85" t="s">
        <v>17</v>
      </c>
    </row>
    <row r="86" spans="1:12" x14ac:dyDescent="0.25">
      <c r="A86">
        <v>976</v>
      </c>
      <c r="B86">
        <v>0</v>
      </c>
      <c r="C86">
        <v>2</v>
      </c>
      <c r="D86" t="s">
        <v>144</v>
      </c>
      <c r="E86" t="s">
        <v>13</v>
      </c>
      <c r="G86">
        <v>0</v>
      </c>
      <c r="H86">
        <v>0</v>
      </c>
      <c r="I86">
        <v>240261</v>
      </c>
      <c r="J86">
        <v>10.708299999999999</v>
      </c>
      <c r="L86" t="s">
        <v>14</v>
      </c>
    </row>
    <row r="87" spans="1:12" x14ac:dyDescent="0.25">
      <c r="A87">
        <v>977</v>
      </c>
      <c r="B87">
        <v>0</v>
      </c>
      <c r="C87">
        <v>3</v>
      </c>
      <c r="D87" t="s">
        <v>145</v>
      </c>
      <c r="E87" t="s">
        <v>13</v>
      </c>
      <c r="G87">
        <v>1</v>
      </c>
      <c r="H87">
        <v>0</v>
      </c>
      <c r="I87">
        <v>2660</v>
      </c>
      <c r="J87">
        <v>14.4542</v>
      </c>
      <c r="L87" t="s">
        <v>25</v>
      </c>
    </row>
    <row r="88" spans="1:12" x14ac:dyDescent="0.25">
      <c r="A88">
        <v>978</v>
      </c>
      <c r="B88">
        <v>1</v>
      </c>
      <c r="C88">
        <v>3</v>
      </c>
      <c r="D88" t="s">
        <v>146</v>
      </c>
      <c r="E88" t="s">
        <v>16</v>
      </c>
      <c r="F88">
        <v>27</v>
      </c>
      <c r="G88">
        <v>0</v>
      </c>
      <c r="H88">
        <v>0</v>
      </c>
      <c r="I88">
        <v>330844</v>
      </c>
      <c r="J88">
        <v>7.8792</v>
      </c>
      <c r="L88" t="s">
        <v>14</v>
      </c>
    </row>
    <row r="89" spans="1:12" x14ac:dyDescent="0.25">
      <c r="A89">
        <v>979</v>
      </c>
      <c r="B89">
        <v>1</v>
      </c>
      <c r="C89">
        <v>3</v>
      </c>
      <c r="D89" t="s">
        <v>147</v>
      </c>
      <c r="E89" t="s">
        <v>16</v>
      </c>
      <c r="F89">
        <v>18</v>
      </c>
      <c r="G89">
        <v>0</v>
      </c>
      <c r="H89">
        <v>0</v>
      </c>
      <c r="I89" t="s">
        <v>148</v>
      </c>
      <c r="J89">
        <v>8.0500000000000007</v>
      </c>
      <c r="L89" t="s">
        <v>17</v>
      </c>
    </row>
    <row r="90" spans="1:12" x14ac:dyDescent="0.25">
      <c r="A90">
        <v>980</v>
      </c>
      <c r="B90">
        <v>1</v>
      </c>
      <c r="C90">
        <v>3</v>
      </c>
      <c r="D90" t="s">
        <v>149</v>
      </c>
      <c r="E90" t="s">
        <v>16</v>
      </c>
      <c r="G90">
        <v>0</v>
      </c>
      <c r="H90">
        <v>0</v>
      </c>
      <c r="I90">
        <v>364856</v>
      </c>
      <c r="J90">
        <v>7.75</v>
      </c>
      <c r="L90" t="s">
        <v>14</v>
      </c>
    </row>
    <row r="91" spans="1:12" x14ac:dyDescent="0.25">
      <c r="A91">
        <v>981</v>
      </c>
      <c r="B91">
        <v>0</v>
      </c>
      <c r="C91">
        <v>2</v>
      </c>
      <c r="D91" t="s">
        <v>150</v>
      </c>
      <c r="E91" t="s">
        <v>13</v>
      </c>
      <c r="F91">
        <v>2</v>
      </c>
      <c r="G91">
        <v>1</v>
      </c>
      <c r="H91">
        <v>1</v>
      </c>
      <c r="I91">
        <v>29103</v>
      </c>
      <c r="J91">
        <v>23</v>
      </c>
      <c r="L91" t="s">
        <v>17</v>
      </c>
    </row>
    <row r="92" spans="1:12" x14ac:dyDescent="0.25">
      <c r="A92">
        <v>982</v>
      </c>
      <c r="B92">
        <v>1</v>
      </c>
      <c r="C92">
        <v>3</v>
      </c>
      <c r="D92" t="s">
        <v>151</v>
      </c>
      <c r="E92" t="s">
        <v>16</v>
      </c>
      <c r="F92">
        <v>22</v>
      </c>
      <c r="G92">
        <v>1</v>
      </c>
      <c r="H92">
        <v>0</v>
      </c>
      <c r="I92">
        <v>347072</v>
      </c>
      <c r="J92">
        <v>13.9</v>
      </c>
      <c r="L92" t="s">
        <v>17</v>
      </c>
    </row>
    <row r="93" spans="1:12" x14ac:dyDescent="0.25">
      <c r="A93">
        <v>983</v>
      </c>
      <c r="B93">
        <v>0</v>
      </c>
      <c r="C93">
        <v>3</v>
      </c>
      <c r="D93" t="s">
        <v>152</v>
      </c>
      <c r="E93" t="s">
        <v>13</v>
      </c>
      <c r="G93">
        <v>0</v>
      </c>
      <c r="H93">
        <v>0</v>
      </c>
      <c r="I93">
        <v>345498</v>
      </c>
      <c r="J93">
        <v>7.7750000000000004</v>
      </c>
      <c r="L93" t="s">
        <v>17</v>
      </c>
    </row>
    <row r="94" spans="1:12" x14ac:dyDescent="0.25">
      <c r="A94">
        <v>984</v>
      </c>
      <c r="B94">
        <v>1</v>
      </c>
      <c r="C94">
        <v>1</v>
      </c>
      <c r="D94" t="s">
        <v>153</v>
      </c>
      <c r="E94" t="s">
        <v>16</v>
      </c>
      <c r="F94">
        <v>27</v>
      </c>
      <c r="G94">
        <v>1</v>
      </c>
      <c r="H94">
        <v>2</v>
      </c>
      <c r="I94" t="s">
        <v>154</v>
      </c>
      <c r="J94">
        <v>52</v>
      </c>
      <c r="K94" t="s">
        <v>155</v>
      </c>
      <c r="L94" t="s">
        <v>17</v>
      </c>
    </row>
    <row r="95" spans="1:12" x14ac:dyDescent="0.25">
      <c r="A95">
        <v>985</v>
      </c>
      <c r="B95">
        <v>0</v>
      </c>
      <c r="C95">
        <v>3</v>
      </c>
      <c r="D95" t="s">
        <v>156</v>
      </c>
      <c r="E95" t="s">
        <v>13</v>
      </c>
      <c r="G95">
        <v>0</v>
      </c>
      <c r="H95">
        <v>0</v>
      </c>
      <c r="I95">
        <v>376563</v>
      </c>
      <c r="J95">
        <v>8.0500000000000007</v>
      </c>
      <c r="L95" t="s">
        <v>17</v>
      </c>
    </row>
    <row r="96" spans="1:12" x14ac:dyDescent="0.25">
      <c r="A96">
        <v>986</v>
      </c>
      <c r="B96">
        <v>0</v>
      </c>
      <c r="C96">
        <v>1</v>
      </c>
      <c r="D96" t="s">
        <v>157</v>
      </c>
      <c r="E96" t="s">
        <v>13</v>
      </c>
      <c r="F96">
        <v>25</v>
      </c>
      <c r="G96">
        <v>0</v>
      </c>
      <c r="H96">
        <v>0</v>
      </c>
      <c r="I96">
        <v>13905</v>
      </c>
      <c r="J96">
        <v>26</v>
      </c>
      <c r="L96" t="s">
        <v>25</v>
      </c>
    </row>
    <row r="97" spans="1:12" x14ac:dyDescent="0.25">
      <c r="A97">
        <v>987</v>
      </c>
      <c r="B97">
        <v>0</v>
      </c>
      <c r="C97">
        <v>3</v>
      </c>
      <c r="D97" t="s">
        <v>158</v>
      </c>
      <c r="E97" t="s">
        <v>13</v>
      </c>
      <c r="F97">
        <v>25</v>
      </c>
      <c r="G97">
        <v>0</v>
      </c>
      <c r="H97">
        <v>0</v>
      </c>
      <c r="I97">
        <v>350033</v>
      </c>
      <c r="J97">
        <v>7.7957999999999998</v>
      </c>
      <c r="L97" t="s">
        <v>17</v>
      </c>
    </row>
    <row r="98" spans="1:12" x14ac:dyDescent="0.25">
      <c r="A98">
        <v>988</v>
      </c>
      <c r="B98">
        <v>1</v>
      </c>
      <c r="C98">
        <v>1</v>
      </c>
      <c r="D98" t="s">
        <v>159</v>
      </c>
      <c r="E98" t="s">
        <v>16</v>
      </c>
      <c r="F98">
        <v>76</v>
      </c>
      <c r="G98">
        <v>1</v>
      </c>
      <c r="H98">
        <v>0</v>
      </c>
      <c r="I98">
        <v>19877</v>
      </c>
      <c r="J98">
        <v>78.849999999999994</v>
      </c>
      <c r="K98" t="s">
        <v>160</v>
      </c>
      <c r="L98" t="s">
        <v>17</v>
      </c>
    </row>
    <row r="99" spans="1:12" x14ac:dyDescent="0.25">
      <c r="A99">
        <v>989</v>
      </c>
      <c r="B99">
        <v>0</v>
      </c>
      <c r="C99">
        <v>3</v>
      </c>
      <c r="D99" t="s">
        <v>161</v>
      </c>
      <c r="E99" t="s">
        <v>13</v>
      </c>
      <c r="F99">
        <v>29</v>
      </c>
      <c r="G99">
        <v>0</v>
      </c>
      <c r="H99">
        <v>0</v>
      </c>
      <c r="I99" t="s">
        <v>162</v>
      </c>
      <c r="J99">
        <v>7.9249999999999998</v>
      </c>
      <c r="L99" t="s">
        <v>17</v>
      </c>
    </row>
    <row r="100" spans="1:12" x14ac:dyDescent="0.25">
      <c r="A100">
        <v>990</v>
      </c>
      <c r="B100">
        <v>1</v>
      </c>
      <c r="C100">
        <v>3</v>
      </c>
      <c r="D100" t="s">
        <v>163</v>
      </c>
      <c r="E100" t="s">
        <v>16</v>
      </c>
      <c r="F100">
        <v>20</v>
      </c>
      <c r="G100">
        <v>0</v>
      </c>
      <c r="H100">
        <v>0</v>
      </c>
      <c r="I100">
        <v>347471</v>
      </c>
      <c r="J100">
        <v>7.8541999999999996</v>
      </c>
      <c r="L100" t="s">
        <v>17</v>
      </c>
    </row>
    <row r="101" spans="1:12" x14ac:dyDescent="0.25">
      <c r="A101">
        <v>991</v>
      </c>
      <c r="B101">
        <v>0</v>
      </c>
      <c r="C101">
        <v>3</v>
      </c>
      <c r="D101" t="s">
        <v>164</v>
      </c>
      <c r="E101" t="s">
        <v>13</v>
      </c>
      <c r="F101">
        <v>33</v>
      </c>
      <c r="G101">
        <v>0</v>
      </c>
      <c r="H101">
        <v>0</v>
      </c>
      <c r="I101" t="s">
        <v>165</v>
      </c>
      <c r="J101">
        <v>8.0500000000000007</v>
      </c>
      <c r="L101" t="s">
        <v>17</v>
      </c>
    </row>
  </sheetData>
  <conditionalFormatting sqref="E2:E101">
    <cfRule type="containsText" dxfId="3" priority="5" operator="containsText" text="fe">
      <formula>NOT(ISERROR(SEARCH("fe",E2)))</formula>
    </cfRule>
  </conditionalFormatting>
  <conditionalFormatting sqref="F2:F101">
    <cfRule type="cellIs" dxfId="2" priority="4" operator="greaterThan">
      <formula>50</formula>
    </cfRule>
  </conditionalFormatting>
  <conditionalFormatting sqref="H2:H101">
    <cfRule type="cellIs" dxfId="1" priority="3" operator="greaterThan">
      <formula>0</formula>
    </cfRule>
  </conditionalFormatting>
  <conditionalFormatting sqref="G2:G101">
    <cfRule type="cellIs" dxfId="0" priority="2" operator="greaterThan">
      <formula>0</formula>
    </cfRule>
  </conditionalFormatting>
  <conditionalFormatting sqref="C2:C101">
    <cfRule type="colorScale" priority="1">
      <colorScale>
        <cfvo type="num" val="1"/>
        <cfvo type="num" val="2"/>
        <cfvo type="num" val="3"/>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U11" sqref="U1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01"/>
  <sheetViews>
    <sheetView topLeftCell="C1" workbookViewId="0">
      <selection activeCell="O26" sqref="O26"/>
    </sheetView>
  </sheetViews>
  <sheetFormatPr defaultRowHeight="15" x14ac:dyDescent="0.25"/>
  <cols>
    <col min="1" max="1" width="10.7109375" bestFit="1" customWidth="1"/>
    <col min="2" max="2" width="7.7109375" bestFit="1" customWidth="1"/>
    <col min="3" max="3" width="5.85546875" bestFit="1" customWidth="1"/>
    <col min="4" max="4" width="56.5703125" bestFit="1" customWidth="1"/>
    <col min="5" max="5" width="6.7109375" bestFit="1" customWidth="1"/>
    <col min="6" max="6" width="5" bestFit="1" customWidth="1"/>
    <col min="7" max="7" width="5.28515625" bestFit="1" customWidth="1"/>
    <col min="8" max="8" width="5.5703125" bestFit="1" customWidth="1"/>
    <col min="9" max="9" width="19.140625" bestFit="1" customWidth="1"/>
    <col min="10" max="10" width="9" bestFit="1" customWidth="1"/>
    <col min="11" max="11" width="14.85546875" bestFit="1" customWidth="1"/>
    <col min="12" max="12" width="9.140625" bestFit="1" customWidth="1"/>
    <col min="15" max="15" width="53" customWidth="1"/>
  </cols>
  <sheetData>
    <row r="1" spans="1:16" x14ac:dyDescent="0.25">
      <c r="A1" t="s">
        <v>0</v>
      </c>
      <c r="B1" t="s">
        <v>1</v>
      </c>
      <c r="C1" t="s">
        <v>2</v>
      </c>
      <c r="D1" t="s">
        <v>3</v>
      </c>
      <c r="E1" t="s">
        <v>4</v>
      </c>
      <c r="F1" t="s">
        <v>5</v>
      </c>
      <c r="G1" t="s">
        <v>6</v>
      </c>
      <c r="H1" t="s">
        <v>7</v>
      </c>
      <c r="I1" t="s">
        <v>8</v>
      </c>
      <c r="J1" t="s">
        <v>9</v>
      </c>
      <c r="K1" t="s">
        <v>10</v>
      </c>
      <c r="L1" t="s">
        <v>11</v>
      </c>
    </row>
    <row r="2" spans="1:16" x14ac:dyDescent="0.25">
      <c r="A2">
        <v>892</v>
      </c>
      <c r="B2">
        <v>0</v>
      </c>
      <c r="C2">
        <v>3</v>
      </c>
      <c r="D2" t="s">
        <v>12</v>
      </c>
      <c r="E2" t="s">
        <v>13</v>
      </c>
      <c r="F2">
        <v>34.5</v>
      </c>
      <c r="G2">
        <v>0</v>
      </c>
      <c r="H2">
        <v>0</v>
      </c>
      <c r="I2">
        <v>330911</v>
      </c>
      <c r="J2">
        <v>7.8292000000000002</v>
      </c>
      <c r="L2" t="s">
        <v>14</v>
      </c>
    </row>
    <row r="3" spans="1:16" x14ac:dyDescent="0.25">
      <c r="A3">
        <v>893</v>
      </c>
      <c r="B3">
        <v>1</v>
      </c>
      <c r="C3">
        <v>3</v>
      </c>
      <c r="D3" t="s">
        <v>15</v>
      </c>
      <c r="E3" t="s">
        <v>16</v>
      </c>
      <c r="F3">
        <v>47</v>
      </c>
      <c r="G3">
        <v>1</v>
      </c>
      <c r="H3">
        <v>0</v>
      </c>
      <c r="I3">
        <v>363272</v>
      </c>
      <c r="J3">
        <v>7</v>
      </c>
      <c r="L3" t="s">
        <v>17</v>
      </c>
    </row>
    <row r="4" spans="1:16" x14ac:dyDescent="0.25">
      <c r="A4">
        <v>894</v>
      </c>
      <c r="B4">
        <v>0</v>
      </c>
      <c r="C4">
        <v>2</v>
      </c>
      <c r="D4" t="s">
        <v>18</v>
      </c>
      <c r="E4" t="s">
        <v>13</v>
      </c>
      <c r="F4">
        <v>62</v>
      </c>
      <c r="G4">
        <v>0</v>
      </c>
      <c r="H4">
        <v>0</v>
      </c>
      <c r="I4">
        <v>240276</v>
      </c>
      <c r="J4">
        <v>9.6875</v>
      </c>
      <c r="L4" t="s">
        <v>14</v>
      </c>
    </row>
    <row r="5" spans="1:16" x14ac:dyDescent="0.25">
      <c r="A5">
        <v>895</v>
      </c>
      <c r="B5">
        <v>0</v>
      </c>
      <c r="C5">
        <v>3</v>
      </c>
      <c r="D5" t="s">
        <v>19</v>
      </c>
      <c r="E5" t="s">
        <v>13</v>
      </c>
      <c r="F5">
        <v>27</v>
      </c>
      <c r="G5">
        <v>0</v>
      </c>
      <c r="H5">
        <v>0</v>
      </c>
      <c r="I5">
        <v>315154</v>
      </c>
      <c r="J5">
        <v>8.6624999999999996</v>
      </c>
      <c r="L5" t="s">
        <v>17</v>
      </c>
    </row>
    <row r="6" spans="1:16" x14ac:dyDescent="0.25">
      <c r="A6">
        <v>896</v>
      </c>
      <c r="B6">
        <v>1</v>
      </c>
      <c r="C6">
        <v>3</v>
      </c>
      <c r="D6" t="s">
        <v>20</v>
      </c>
      <c r="E6" t="s">
        <v>16</v>
      </c>
      <c r="F6">
        <v>22</v>
      </c>
      <c r="G6">
        <v>1</v>
      </c>
      <c r="H6">
        <v>1</v>
      </c>
      <c r="I6">
        <v>3101298</v>
      </c>
      <c r="J6">
        <v>12.2875</v>
      </c>
      <c r="L6" t="s">
        <v>17</v>
      </c>
      <c r="O6" t="s">
        <v>21</v>
      </c>
      <c r="P6">
        <f>VLOOKUP(O6,$D$1:$L$101,3,FALSE)</f>
        <v>14</v>
      </c>
    </row>
    <row r="7" spans="1:16" x14ac:dyDescent="0.25">
      <c r="A7">
        <v>897</v>
      </c>
      <c r="B7">
        <v>0</v>
      </c>
      <c r="C7">
        <v>3</v>
      </c>
      <c r="D7" t="s">
        <v>21</v>
      </c>
      <c r="E7" t="s">
        <v>13</v>
      </c>
      <c r="F7">
        <v>14</v>
      </c>
      <c r="G7">
        <v>0</v>
      </c>
      <c r="H7">
        <v>0</v>
      </c>
      <c r="I7">
        <v>7538</v>
      </c>
      <c r="J7">
        <v>9.2249999999999996</v>
      </c>
      <c r="L7" t="s">
        <v>17</v>
      </c>
      <c r="O7" t="s">
        <v>22</v>
      </c>
      <c r="P7">
        <f t="shared" ref="P7:P21" si="0">VLOOKUP(O7,$D$1:$L$101,3,FALSE)</f>
        <v>30</v>
      </c>
    </row>
    <row r="8" spans="1:16" x14ac:dyDescent="0.25">
      <c r="A8">
        <v>898</v>
      </c>
      <c r="B8">
        <v>1</v>
      </c>
      <c r="C8">
        <v>3</v>
      </c>
      <c r="D8" t="s">
        <v>22</v>
      </c>
      <c r="E8" t="s">
        <v>16</v>
      </c>
      <c r="F8">
        <v>30</v>
      </c>
      <c r="G8">
        <v>0</v>
      </c>
      <c r="H8">
        <v>0</v>
      </c>
      <c r="I8">
        <v>330972</v>
      </c>
      <c r="J8">
        <v>7.6292</v>
      </c>
      <c r="L8" t="s">
        <v>14</v>
      </c>
      <c r="O8" t="s">
        <v>23</v>
      </c>
      <c r="P8">
        <f t="shared" si="0"/>
        <v>26</v>
      </c>
    </row>
    <row r="9" spans="1:16" x14ac:dyDescent="0.25">
      <c r="A9">
        <v>899</v>
      </c>
      <c r="B9">
        <v>0</v>
      </c>
      <c r="C9">
        <v>2</v>
      </c>
      <c r="D9" t="s">
        <v>23</v>
      </c>
      <c r="E9" t="s">
        <v>13</v>
      </c>
      <c r="F9">
        <v>26</v>
      </c>
      <c r="G9">
        <v>1</v>
      </c>
      <c r="H9">
        <v>1</v>
      </c>
      <c r="I9">
        <v>248738</v>
      </c>
      <c r="J9">
        <v>29</v>
      </c>
      <c r="L9" t="s">
        <v>17</v>
      </c>
      <c r="O9" t="s">
        <v>24</v>
      </c>
      <c r="P9">
        <f t="shared" si="0"/>
        <v>18</v>
      </c>
    </row>
    <row r="10" spans="1:16" x14ac:dyDescent="0.25">
      <c r="A10">
        <v>900</v>
      </c>
      <c r="B10">
        <v>1</v>
      </c>
      <c r="C10">
        <v>3</v>
      </c>
      <c r="D10" t="s">
        <v>24</v>
      </c>
      <c r="E10" t="s">
        <v>16</v>
      </c>
      <c r="F10">
        <v>18</v>
      </c>
      <c r="G10">
        <v>0</v>
      </c>
      <c r="H10">
        <v>0</v>
      </c>
      <c r="I10">
        <v>2657</v>
      </c>
      <c r="J10">
        <v>7.2291999999999996</v>
      </c>
      <c r="L10" t="s">
        <v>25</v>
      </c>
      <c r="O10" t="s">
        <v>26</v>
      </c>
      <c r="P10">
        <f t="shared" si="0"/>
        <v>21</v>
      </c>
    </row>
    <row r="11" spans="1:16" x14ac:dyDescent="0.25">
      <c r="A11">
        <v>901</v>
      </c>
      <c r="B11">
        <v>0</v>
      </c>
      <c r="C11">
        <v>3</v>
      </c>
      <c r="D11" t="s">
        <v>26</v>
      </c>
      <c r="E11" t="s">
        <v>13</v>
      </c>
      <c r="F11">
        <v>21</v>
      </c>
      <c r="G11">
        <v>2</v>
      </c>
      <c r="H11">
        <v>0</v>
      </c>
      <c r="I11" t="s">
        <v>27</v>
      </c>
      <c r="J11">
        <v>24.15</v>
      </c>
      <c r="L11" t="s">
        <v>17</v>
      </c>
      <c r="O11" t="s">
        <v>28</v>
      </c>
      <c r="P11">
        <f t="shared" si="0"/>
        <v>0</v>
      </c>
    </row>
    <row r="12" spans="1:16" x14ac:dyDescent="0.25">
      <c r="A12">
        <v>902</v>
      </c>
      <c r="B12">
        <v>0</v>
      </c>
      <c r="C12">
        <v>3</v>
      </c>
      <c r="D12" t="s">
        <v>28</v>
      </c>
      <c r="E12" t="s">
        <v>13</v>
      </c>
      <c r="G12">
        <v>0</v>
      </c>
      <c r="H12">
        <v>0</v>
      </c>
      <c r="I12">
        <v>349220</v>
      </c>
      <c r="J12">
        <v>7.8958000000000004</v>
      </c>
      <c r="L12" t="s">
        <v>17</v>
      </c>
      <c r="O12" t="s">
        <v>29</v>
      </c>
      <c r="P12">
        <f t="shared" si="0"/>
        <v>46</v>
      </c>
    </row>
    <row r="13" spans="1:16" x14ac:dyDescent="0.25">
      <c r="A13">
        <v>903</v>
      </c>
      <c r="B13">
        <v>0</v>
      </c>
      <c r="C13">
        <v>1</v>
      </c>
      <c r="D13" t="s">
        <v>29</v>
      </c>
      <c r="E13" t="s">
        <v>13</v>
      </c>
      <c r="F13">
        <v>46</v>
      </c>
      <c r="G13">
        <v>0</v>
      </c>
      <c r="H13">
        <v>0</v>
      </c>
      <c r="I13">
        <v>694</v>
      </c>
      <c r="J13">
        <v>26</v>
      </c>
      <c r="L13" t="s">
        <v>17</v>
      </c>
      <c r="O13" t="s">
        <v>30</v>
      </c>
      <c r="P13">
        <f t="shared" si="0"/>
        <v>23</v>
      </c>
    </row>
    <row r="14" spans="1:16" x14ac:dyDescent="0.25">
      <c r="A14">
        <v>904</v>
      </c>
      <c r="B14">
        <v>1</v>
      </c>
      <c r="C14">
        <v>1</v>
      </c>
      <c r="D14" t="s">
        <v>30</v>
      </c>
      <c r="E14" t="s">
        <v>16</v>
      </c>
      <c r="F14">
        <v>23</v>
      </c>
      <c r="G14">
        <v>1</v>
      </c>
      <c r="H14">
        <v>0</v>
      </c>
      <c r="I14">
        <v>21228</v>
      </c>
      <c r="J14">
        <v>82.2667</v>
      </c>
      <c r="K14" t="s">
        <v>31</v>
      </c>
      <c r="L14" t="s">
        <v>17</v>
      </c>
      <c r="O14" t="s">
        <v>32</v>
      </c>
      <c r="P14">
        <f t="shared" si="0"/>
        <v>63</v>
      </c>
    </row>
    <row r="15" spans="1:16" x14ac:dyDescent="0.25">
      <c r="A15">
        <v>905</v>
      </c>
      <c r="B15">
        <v>0</v>
      </c>
      <c r="C15">
        <v>2</v>
      </c>
      <c r="D15" t="s">
        <v>32</v>
      </c>
      <c r="E15" t="s">
        <v>13</v>
      </c>
      <c r="F15">
        <v>63</v>
      </c>
      <c r="G15">
        <v>1</v>
      </c>
      <c r="H15">
        <v>0</v>
      </c>
      <c r="I15">
        <v>24065</v>
      </c>
      <c r="J15">
        <v>26</v>
      </c>
      <c r="L15" t="s">
        <v>17</v>
      </c>
      <c r="O15" t="s">
        <v>33</v>
      </c>
      <c r="P15">
        <f t="shared" si="0"/>
        <v>47</v>
      </c>
    </row>
    <row r="16" spans="1:16" x14ac:dyDescent="0.25">
      <c r="A16">
        <v>906</v>
      </c>
      <c r="B16">
        <v>1</v>
      </c>
      <c r="C16">
        <v>1</v>
      </c>
      <c r="D16" t="s">
        <v>33</v>
      </c>
      <c r="E16" t="s">
        <v>16</v>
      </c>
      <c r="F16">
        <v>47</v>
      </c>
      <c r="G16">
        <v>1</v>
      </c>
      <c r="H16">
        <v>0</v>
      </c>
      <c r="I16" t="s">
        <v>34</v>
      </c>
      <c r="J16">
        <v>61.174999999999997</v>
      </c>
      <c r="K16" t="s">
        <v>35</v>
      </c>
      <c r="L16" t="s">
        <v>17</v>
      </c>
      <c r="O16" t="s">
        <v>36</v>
      </c>
      <c r="P16">
        <f t="shared" si="0"/>
        <v>24</v>
      </c>
    </row>
    <row r="17" spans="1:16" x14ac:dyDescent="0.25">
      <c r="A17">
        <v>907</v>
      </c>
      <c r="B17">
        <v>1</v>
      </c>
      <c r="C17">
        <v>2</v>
      </c>
      <c r="D17" t="s">
        <v>36</v>
      </c>
      <c r="E17" t="s">
        <v>16</v>
      </c>
      <c r="F17">
        <v>24</v>
      </c>
      <c r="G17">
        <v>1</v>
      </c>
      <c r="H17">
        <v>0</v>
      </c>
      <c r="I17" t="s">
        <v>37</v>
      </c>
      <c r="J17">
        <v>27.720800000000001</v>
      </c>
      <c r="L17" t="s">
        <v>25</v>
      </c>
      <c r="O17" t="s">
        <v>38</v>
      </c>
      <c r="P17">
        <f t="shared" si="0"/>
        <v>35</v>
      </c>
    </row>
    <row r="18" spans="1:16" x14ac:dyDescent="0.25">
      <c r="A18">
        <v>908</v>
      </c>
      <c r="B18">
        <v>0</v>
      </c>
      <c r="C18">
        <v>2</v>
      </c>
      <c r="D18" t="s">
        <v>38</v>
      </c>
      <c r="E18" t="s">
        <v>13</v>
      </c>
      <c r="F18">
        <v>35</v>
      </c>
      <c r="G18">
        <v>0</v>
      </c>
      <c r="H18">
        <v>0</v>
      </c>
      <c r="I18">
        <v>233734</v>
      </c>
      <c r="J18">
        <v>12.35</v>
      </c>
      <c r="L18" t="s">
        <v>14</v>
      </c>
      <c r="O18" t="s">
        <v>39</v>
      </c>
      <c r="P18">
        <f t="shared" si="0"/>
        <v>21</v>
      </c>
    </row>
    <row r="19" spans="1:16" x14ac:dyDescent="0.25">
      <c r="A19">
        <v>909</v>
      </c>
      <c r="B19">
        <v>0</v>
      </c>
      <c r="C19">
        <v>3</v>
      </c>
      <c r="D19" t="s">
        <v>39</v>
      </c>
      <c r="E19" t="s">
        <v>13</v>
      </c>
      <c r="F19">
        <v>21</v>
      </c>
      <c r="G19">
        <v>0</v>
      </c>
      <c r="H19">
        <v>0</v>
      </c>
      <c r="I19">
        <v>2692</v>
      </c>
      <c r="J19">
        <v>7.2249999999999996</v>
      </c>
      <c r="L19" t="s">
        <v>25</v>
      </c>
      <c r="O19" t="s">
        <v>40</v>
      </c>
      <c r="P19">
        <f t="shared" si="0"/>
        <v>27</v>
      </c>
    </row>
    <row r="20" spans="1:16" x14ac:dyDescent="0.25">
      <c r="A20">
        <v>910</v>
      </c>
      <c r="B20">
        <v>1</v>
      </c>
      <c r="C20">
        <v>3</v>
      </c>
      <c r="D20" t="s">
        <v>40</v>
      </c>
      <c r="E20" t="s">
        <v>16</v>
      </c>
      <c r="F20">
        <v>27</v>
      </c>
      <c r="G20">
        <v>1</v>
      </c>
      <c r="H20">
        <v>0</v>
      </c>
      <c r="I20" t="s">
        <v>41</v>
      </c>
      <c r="J20">
        <v>7.9249999999999998</v>
      </c>
      <c r="L20" t="s">
        <v>17</v>
      </c>
      <c r="O20" t="s">
        <v>42</v>
      </c>
      <c r="P20">
        <f t="shared" si="0"/>
        <v>45</v>
      </c>
    </row>
    <row r="21" spans="1:16" x14ac:dyDescent="0.25">
      <c r="A21">
        <v>911</v>
      </c>
      <c r="B21">
        <v>1</v>
      </c>
      <c r="C21">
        <v>3</v>
      </c>
      <c r="D21" t="s">
        <v>42</v>
      </c>
      <c r="E21" t="s">
        <v>16</v>
      </c>
      <c r="F21">
        <v>45</v>
      </c>
      <c r="G21">
        <v>0</v>
      </c>
      <c r="H21">
        <v>0</v>
      </c>
      <c r="I21">
        <v>2696</v>
      </c>
      <c r="J21">
        <v>7.2249999999999996</v>
      </c>
      <c r="L21" t="s">
        <v>25</v>
      </c>
      <c r="O21" t="s">
        <v>43</v>
      </c>
      <c r="P21">
        <f t="shared" si="0"/>
        <v>55</v>
      </c>
    </row>
    <row r="22" spans="1:16" x14ac:dyDescent="0.25">
      <c r="A22">
        <v>912</v>
      </c>
      <c r="B22">
        <v>0</v>
      </c>
      <c r="C22">
        <v>1</v>
      </c>
      <c r="D22" t="s">
        <v>43</v>
      </c>
      <c r="E22" t="s">
        <v>13</v>
      </c>
      <c r="F22">
        <v>55</v>
      </c>
      <c r="G22">
        <v>1</v>
      </c>
      <c r="H22">
        <v>0</v>
      </c>
      <c r="I22" t="s">
        <v>44</v>
      </c>
      <c r="J22">
        <v>59.4</v>
      </c>
      <c r="L22" t="s">
        <v>25</v>
      </c>
    </row>
    <row r="23" spans="1:16" x14ac:dyDescent="0.25">
      <c r="A23">
        <v>913</v>
      </c>
      <c r="B23">
        <v>0</v>
      </c>
      <c r="C23">
        <v>3</v>
      </c>
      <c r="D23" t="s">
        <v>45</v>
      </c>
      <c r="E23" t="s">
        <v>13</v>
      </c>
      <c r="F23">
        <v>9</v>
      </c>
      <c r="G23">
        <v>0</v>
      </c>
      <c r="H23">
        <v>1</v>
      </c>
      <c r="I23" t="s">
        <v>46</v>
      </c>
      <c r="J23">
        <v>3.1707999999999998</v>
      </c>
      <c r="L23" t="s">
        <v>17</v>
      </c>
    </row>
    <row r="24" spans="1:16" x14ac:dyDescent="0.25">
      <c r="A24">
        <v>914</v>
      </c>
      <c r="B24">
        <v>1</v>
      </c>
      <c r="C24">
        <v>1</v>
      </c>
      <c r="D24" t="s">
        <v>47</v>
      </c>
      <c r="E24" t="s">
        <v>16</v>
      </c>
      <c r="G24">
        <v>0</v>
      </c>
      <c r="H24">
        <v>0</v>
      </c>
      <c r="I24" t="s">
        <v>48</v>
      </c>
      <c r="J24">
        <v>31.683299999999999</v>
      </c>
      <c r="L24" t="s">
        <v>17</v>
      </c>
    </row>
    <row r="25" spans="1:16" x14ac:dyDescent="0.25">
      <c r="A25">
        <v>915</v>
      </c>
      <c r="B25">
        <v>0</v>
      </c>
      <c r="C25">
        <v>1</v>
      </c>
      <c r="D25" t="s">
        <v>49</v>
      </c>
      <c r="E25" t="s">
        <v>13</v>
      </c>
      <c r="F25">
        <v>21</v>
      </c>
      <c r="G25">
        <v>0</v>
      </c>
      <c r="H25">
        <v>1</v>
      </c>
      <c r="I25" t="s">
        <v>50</v>
      </c>
      <c r="J25">
        <v>61.379199999999997</v>
      </c>
      <c r="L25" t="s">
        <v>25</v>
      </c>
    </row>
    <row r="26" spans="1:16" x14ac:dyDescent="0.25">
      <c r="A26">
        <v>916</v>
      </c>
      <c r="B26">
        <v>1</v>
      </c>
      <c r="C26">
        <v>1</v>
      </c>
      <c r="D26" t="s">
        <v>51</v>
      </c>
      <c r="E26" t="s">
        <v>16</v>
      </c>
      <c r="F26">
        <v>48</v>
      </c>
      <c r="G26">
        <v>1</v>
      </c>
      <c r="H26">
        <v>3</v>
      </c>
      <c r="I26" t="s">
        <v>52</v>
      </c>
      <c r="J26">
        <v>262.375</v>
      </c>
      <c r="K26" t="s">
        <v>53</v>
      </c>
      <c r="L26" t="s">
        <v>25</v>
      </c>
    </row>
    <row r="27" spans="1:16" x14ac:dyDescent="0.25">
      <c r="A27">
        <v>917</v>
      </c>
      <c r="B27">
        <v>0</v>
      </c>
      <c r="C27">
        <v>3</v>
      </c>
      <c r="D27" t="s">
        <v>54</v>
      </c>
      <c r="E27" t="s">
        <v>13</v>
      </c>
      <c r="F27">
        <v>50</v>
      </c>
      <c r="G27">
        <v>1</v>
      </c>
      <c r="H27">
        <v>0</v>
      </c>
      <c r="I27" t="s">
        <v>55</v>
      </c>
      <c r="J27">
        <v>14.5</v>
      </c>
      <c r="L27" t="s">
        <v>17</v>
      </c>
    </row>
    <row r="28" spans="1:16" x14ac:dyDescent="0.25">
      <c r="A28">
        <v>918</v>
      </c>
      <c r="B28">
        <v>1</v>
      </c>
      <c r="C28">
        <v>1</v>
      </c>
      <c r="D28" t="s">
        <v>56</v>
      </c>
      <c r="E28" t="s">
        <v>16</v>
      </c>
      <c r="F28">
        <v>22</v>
      </c>
      <c r="G28">
        <v>0</v>
      </c>
      <c r="H28">
        <v>1</v>
      </c>
      <c r="I28">
        <v>113509</v>
      </c>
      <c r="J28">
        <v>61.979199999999999</v>
      </c>
      <c r="K28" t="s">
        <v>57</v>
      </c>
      <c r="L28" t="s">
        <v>25</v>
      </c>
    </row>
    <row r="29" spans="1:16" x14ac:dyDescent="0.25">
      <c r="A29">
        <v>919</v>
      </c>
      <c r="B29">
        <v>0</v>
      </c>
      <c r="C29">
        <v>3</v>
      </c>
      <c r="D29" t="s">
        <v>58</v>
      </c>
      <c r="E29" t="s">
        <v>13</v>
      </c>
      <c r="F29">
        <v>22.5</v>
      </c>
      <c r="G29">
        <v>0</v>
      </c>
      <c r="H29">
        <v>0</v>
      </c>
      <c r="I29">
        <v>2698</v>
      </c>
      <c r="J29">
        <v>7.2249999999999996</v>
      </c>
      <c r="L29" t="s">
        <v>25</v>
      </c>
    </row>
    <row r="30" spans="1:16" x14ac:dyDescent="0.25">
      <c r="A30">
        <v>920</v>
      </c>
      <c r="B30">
        <v>0</v>
      </c>
      <c r="C30">
        <v>1</v>
      </c>
      <c r="D30" t="s">
        <v>59</v>
      </c>
      <c r="E30" t="s">
        <v>13</v>
      </c>
      <c r="F30">
        <v>41</v>
      </c>
      <c r="G30">
        <v>0</v>
      </c>
      <c r="H30">
        <v>0</v>
      </c>
      <c r="I30">
        <v>113054</v>
      </c>
      <c r="J30">
        <v>30.5</v>
      </c>
      <c r="K30" t="s">
        <v>60</v>
      </c>
      <c r="L30" t="s">
        <v>17</v>
      </c>
    </row>
    <row r="31" spans="1:16" x14ac:dyDescent="0.25">
      <c r="A31">
        <v>921</v>
      </c>
      <c r="B31">
        <v>0</v>
      </c>
      <c r="C31">
        <v>3</v>
      </c>
      <c r="D31" t="s">
        <v>61</v>
      </c>
      <c r="E31" t="s">
        <v>13</v>
      </c>
      <c r="G31">
        <v>2</v>
      </c>
      <c r="H31">
        <v>0</v>
      </c>
      <c r="I31">
        <v>2662</v>
      </c>
      <c r="J31">
        <v>21.679200000000002</v>
      </c>
      <c r="L31" t="s">
        <v>25</v>
      </c>
    </row>
    <row r="32" spans="1:16" x14ac:dyDescent="0.25">
      <c r="A32">
        <v>922</v>
      </c>
      <c r="B32">
        <v>0</v>
      </c>
      <c r="C32">
        <v>2</v>
      </c>
      <c r="D32" t="s">
        <v>62</v>
      </c>
      <c r="E32" t="s">
        <v>13</v>
      </c>
      <c r="F32">
        <v>50</v>
      </c>
      <c r="G32">
        <v>1</v>
      </c>
      <c r="H32">
        <v>0</v>
      </c>
      <c r="I32" t="s">
        <v>63</v>
      </c>
      <c r="J32">
        <v>26</v>
      </c>
      <c r="L32" t="s">
        <v>17</v>
      </c>
    </row>
    <row r="33" spans="1:12" x14ac:dyDescent="0.25">
      <c r="A33">
        <v>923</v>
      </c>
      <c r="B33">
        <v>0</v>
      </c>
      <c r="C33">
        <v>2</v>
      </c>
      <c r="D33" t="s">
        <v>64</v>
      </c>
      <c r="E33" t="s">
        <v>13</v>
      </c>
      <c r="F33">
        <v>24</v>
      </c>
      <c r="G33">
        <v>2</v>
      </c>
      <c r="H33">
        <v>0</v>
      </c>
      <c r="I33" t="s">
        <v>65</v>
      </c>
      <c r="J33">
        <v>31.5</v>
      </c>
      <c r="L33" t="s">
        <v>17</v>
      </c>
    </row>
    <row r="34" spans="1:12" x14ac:dyDescent="0.25">
      <c r="A34">
        <v>924</v>
      </c>
      <c r="B34">
        <v>1</v>
      </c>
      <c r="C34">
        <v>3</v>
      </c>
      <c r="D34" t="s">
        <v>66</v>
      </c>
      <c r="E34" t="s">
        <v>16</v>
      </c>
      <c r="F34">
        <v>33</v>
      </c>
      <c r="G34">
        <v>1</v>
      </c>
      <c r="H34">
        <v>2</v>
      </c>
      <c r="I34" t="s">
        <v>67</v>
      </c>
      <c r="J34">
        <v>20.574999999999999</v>
      </c>
      <c r="L34" t="s">
        <v>17</v>
      </c>
    </row>
    <row r="35" spans="1:12" x14ac:dyDescent="0.25">
      <c r="A35">
        <v>925</v>
      </c>
      <c r="B35">
        <v>1</v>
      </c>
      <c r="C35">
        <v>3</v>
      </c>
      <c r="D35" t="s">
        <v>68</v>
      </c>
      <c r="E35" t="s">
        <v>16</v>
      </c>
      <c r="G35">
        <v>1</v>
      </c>
      <c r="H35">
        <v>2</v>
      </c>
      <c r="I35" t="s">
        <v>69</v>
      </c>
      <c r="J35">
        <v>23.45</v>
      </c>
      <c r="L35" t="s">
        <v>17</v>
      </c>
    </row>
    <row r="36" spans="1:12" x14ac:dyDescent="0.25">
      <c r="A36">
        <v>926</v>
      </c>
      <c r="B36">
        <v>0</v>
      </c>
      <c r="C36">
        <v>1</v>
      </c>
      <c r="D36" t="s">
        <v>70</v>
      </c>
      <c r="E36" t="s">
        <v>13</v>
      </c>
      <c r="F36">
        <v>30</v>
      </c>
      <c r="G36">
        <v>1</v>
      </c>
      <c r="H36">
        <v>0</v>
      </c>
      <c r="I36">
        <v>13236</v>
      </c>
      <c r="J36">
        <v>57.75</v>
      </c>
      <c r="K36" t="s">
        <v>71</v>
      </c>
      <c r="L36" t="s">
        <v>25</v>
      </c>
    </row>
    <row r="37" spans="1:12" x14ac:dyDescent="0.25">
      <c r="A37">
        <v>927</v>
      </c>
      <c r="B37">
        <v>0</v>
      </c>
      <c r="C37">
        <v>3</v>
      </c>
      <c r="D37" t="s">
        <v>72</v>
      </c>
      <c r="E37" t="s">
        <v>13</v>
      </c>
      <c r="F37">
        <v>18.5</v>
      </c>
      <c r="G37">
        <v>0</v>
      </c>
      <c r="H37">
        <v>0</v>
      </c>
      <c r="I37">
        <v>2682</v>
      </c>
      <c r="J37">
        <v>7.2291999999999996</v>
      </c>
      <c r="L37" t="s">
        <v>25</v>
      </c>
    </row>
    <row r="38" spans="1:12" x14ac:dyDescent="0.25">
      <c r="A38">
        <v>928</v>
      </c>
      <c r="B38">
        <v>1</v>
      </c>
      <c r="C38">
        <v>3</v>
      </c>
      <c r="D38" t="s">
        <v>73</v>
      </c>
      <c r="E38" t="s">
        <v>16</v>
      </c>
      <c r="G38">
        <v>0</v>
      </c>
      <c r="H38">
        <v>0</v>
      </c>
      <c r="I38">
        <v>342712</v>
      </c>
      <c r="J38">
        <v>8.0500000000000007</v>
      </c>
      <c r="L38" t="s">
        <v>17</v>
      </c>
    </row>
    <row r="39" spans="1:12" x14ac:dyDescent="0.25">
      <c r="A39">
        <v>929</v>
      </c>
      <c r="B39">
        <v>1</v>
      </c>
      <c r="C39">
        <v>3</v>
      </c>
      <c r="D39" t="s">
        <v>74</v>
      </c>
      <c r="E39" t="s">
        <v>16</v>
      </c>
      <c r="F39">
        <v>21</v>
      </c>
      <c r="G39">
        <v>0</v>
      </c>
      <c r="H39">
        <v>0</v>
      </c>
      <c r="I39">
        <v>315087</v>
      </c>
      <c r="J39">
        <v>8.6624999999999996</v>
      </c>
      <c r="L39" t="s">
        <v>17</v>
      </c>
    </row>
    <row r="40" spans="1:12" x14ac:dyDescent="0.25">
      <c r="A40">
        <v>930</v>
      </c>
      <c r="B40">
        <v>0</v>
      </c>
      <c r="C40">
        <v>3</v>
      </c>
      <c r="D40" t="s">
        <v>75</v>
      </c>
      <c r="E40" t="s">
        <v>13</v>
      </c>
      <c r="F40">
        <v>25</v>
      </c>
      <c r="G40">
        <v>0</v>
      </c>
      <c r="H40">
        <v>0</v>
      </c>
      <c r="I40">
        <v>345768</v>
      </c>
      <c r="J40">
        <v>9.5</v>
      </c>
      <c r="L40" t="s">
        <v>17</v>
      </c>
    </row>
    <row r="41" spans="1:12" x14ac:dyDescent="0.25">
      <c r="A41">
        <v>931</v>
      </c>
      <c r="B41">
        <v>0</v>
      </c>
      <c r="C41">
        <v>3</v>
      </c>
      <c r="D41" t="s">
        <v>76</v>
      </c>
      <c r="E41" t="s">
        <v>13</v>
      </c>
      <c r="G41">
        <v>0</v>
      </c>
      <c r="H41">
        <v>0</v>
      </c>
      <c r="I41">
        <v>1601</v>
      </c>
      <c r="J41">
        <v>56.495800000000003</v>
      </c>
      <c r="L41" t="s">
        <v>17</v>
      </c>
    </row>
    <row r="42" spans="1:12" x14ac:dyDescent="0.25">
      <c r="A42">
        <v>932</v>
      </c>
      <c r="B42">
        <v>0</v>
      </c>
      <c r="C42">
        <v>3</v>
      </c>
      <c r="D42" t="s">
        <v>77</v>
      </c>
      <c r="E42" t="s">
        <v>13</v>
      </c>
      <c r="F42">
        <v>39</v>
      </c>
      <c r="G42">
        <v>0</v>
      </c>
      <c r="H42">
        <v>1</v>
      </c>
      <c r="I42">
        <v>349256</v>
      </c>
      <c r="J42">
        <v>13.416700000000001</v>
      </c>
      <c r="L42" t="s">
        <v>25</v>
      </c>
    </row>
    <row r="43" spans="1:12" x14ac:dyDescent="0.25">
      <c r="A43">
        <v>933</v>
      </c>
      <c r="B43">
        <v>0</v>
      </c>
      <c r="C43">
        <v>1</v>
      </c>
      <c r="D43" t="s">
        <v>78</v>
      </c>
      <c r="E43" t="s">
        <v>13</v>
      </c>
      <c r="G43">
        <v>0</v>
      </c>
      <c r="H43">
        <v>0</v>
      </c>
      <c r="I43">
        <v>113778</v>
      </c>
      <c r="J43">
        <v>26.55</v>
      </c>
      <c r="K43" t="s">
        <v>79</v>
      </c>
      <c r="L43" t="s">
        <v>17</v>
      </c>
    </row>
    <row r="44" spans="1:12" x14ac:dyDescent="0.25">
      <c r="A44">
        <v>934</v>
      </c>
      <c r="B44">
        <v>0</v>
      </c>
      <c r="C44">
        <v>3</v>
      </c>
      <c r="D44" t="s">
        <v>80</v>
      </c>
      <c r="E44" t="s">
        <v>13</v>
      </c>
      <c r="F44">
        <v>41</v>
      </c>
      <c r="G44">
        <v>0</v>
      </c>
      <c r="H44">
        <v>0</v>
      </c>
      <c r="I44" t="s">
        <v>81</v>
      </c>
      <c r="J44">
        <v>7.85</v>
      </c>
      <c r="L44" t="s">
        <v>17</v>
      </c>
    </row>
    <row r="45" spans="1:12" x14ac:dyDescent="0.25">
      <c r="A45">
        <v>935</v>
      </c>
      <c r="B45">
        <v>1</v>
      </c>
      <c r="C45">
        <v>2</v>
      </c>
      <c r="D45" t="s">
        <v>82</v>
      </c>
      <c r="E45" t="s">
        <v>16</v>
      </c>
      <c r="F45">
        <v>30</v>
      </c>
      <c r="G45">
        <v>0</v>
      </c>
      <c r="H45">
        <v>0</v>
      </c>
      <c r="I45">
        <v>237249</v>
      </c>
      <c r="J45">
        <v>13</v>
      </c>
      <c r="L45" t="s">
        <v>17</v>
      </c>
    </row>
    <row r="46" spans="1:12" x14ac:dyDescent="0.25">
      <c r="A46">
        <v>936</v>
      </c>
      <c r="B46">
        <v>1</v>
      </c>
      <c r="C46">
        <v>1</v>
      </c>
      <c r="D46" t="s">
        <v>83</v>
      </c>
      <c r="E46" t="s">
        <v>16</v>
      </c>
      <c r="F46">
        <v>45</v>
      </c>
      <c r="G46">
        <v>1</v>
      </c>
      <c r="H46">
        <v>0</v>
      </c>
      <c r="I46">
        <v>11753</v>
      </c>
      <c r="J46">
        <v>52.554200000000002</v>
      </c>
      <c r="K46" t="s">
        <v>84</v>
      </c>
      <c r="L46" t="s">
        <v>17</v>
      </c>
    </row>
    <row r="47" spans="1:12" x14ac:dyDescent="0.25">
      <c r="A47">
        <v>937</v>
      </c>
      <c r="B47">
        <v>0</v>
      </c>
      <c r="C47">
        <v>3</v>
      </c>
      <c r="D47" t="s">
        <v>85</v>
      </c>
      <c r="E47" t="s">
        <v>13</v>
      </c>
      <c r="F47">
        <v>25</v>
      </c>
      <c r="G47">
        <v>0</v>
      </c>
      <c r="H47">
        <v>0</v>
      </c>
      <c r="I47" t="s">
        <v>86</v>
      </c>
      <c r="J47">
        <v>7.9249999999999998</v>
      </c>
      <c r="L47" t="s">
        <v>17</v>
      </c>
    </row>
    <row r="48" spans="1:12" x14ac:dyDescent="0.25">
      <c r="A48">
        <v>938</v>
      </c>
      <c r="B48">
        <v>0</v>
      </c>
      <c r="C48">
        <v>1</v>
      </c>
      <c r="D48" t="s">
        <v>87</v>
      </c>
      <c r="E48" t="s">
        <v>13</v>
      </c>
      <c r="F48">
        <v>45</v>
      </c>
      <c r="G48">
        <v>0</v>
      </c>
      <c r="H48">
        <v>0</v>
      </c>
      <c r="I48" t="s">
        <v>88</v>
      </c>
      <c r="J48">
        <v>29.7</v>
      </c>
      <c r="K48" t="s">
        <v>89</v>
      </c>
      <c r="L48" t="s">
        <v>25</v>
      </c>
    </row>
    <row r="49" spans="1:12" x14ac:dyDescent="0.25">
      <c r="A49">
        <v>939</v>
      </c>
      <c r="B49">
        <v>0</v>
      </c>
      <c r="C49">
        <v>3</v>
      </c>
      <c r="D49" t="s">
        <v>90</v>
      </c>
      <c r="E49" t="s">
        <v>13</v>
      </c>
      <c r="G49">
        <v>0</v>
      </c>
      <c r="H49">
        <v>0</v>
      </c>
      <c r="I49">
        <v>370374</v>
      </c>
      <c r="J49">
        <v>7.75</v>
      </c>
      <c r="L49" t="s">
        <v>14</v>
      </c>
    </row>
    <row r="50" spans="1:12" x14ac:dyDescent="0.25">
      <c r="A50">
        <v>940</v>
      </c>
      <c r="B50">
        <v>1</v>
      </c>
      <c r="C50">
        <v>1</v>
      </c>
      <c r="D50" t="s">
        <v>91</v>
      </c>
      <c r="E50" t="s">
        <v>16</v>
      </c>
      <c r="F50">
        <v>60</v>
      </c>
      <c r="G50">
        <v>0</v>
      </c>
      <c r="H50">
        <v>0</v>
      </c>
      <c r="I50">
        <v>11813</v>
      </c>
      <c r="J50">
        <v>76.291700000000006</v>
      </c>
      <c r="K50" t="s">
        <v>92</v>
      </c>
      <c r="L50" t="s">
        <v>25</v>
      </c>
    </row>
    <row r="51" spans="1:12" x14ac:dyDescent="0.25">
      <c r="A51">
        <v>941</v>
      </c>
      <c r="B51">
        <v>1</v>
      </c>
      <c r="C51">
        <v>3</v>
      </c>
      <c r="D51" t="s">
        <v>93</v>
      </c>
      <c r="E51" t="s">
        <v>16</v>
      </c>
      <c r="F51">
        <v>36</v>
      </c>
      <c r="G51">
        <v>0</v>
      </c>
      <c r="H51">
        <v>2</v>
      </c>
      <c r="I51" t="s">
        <v>94</v>
      </c>
      <c r="J51">
        <v>15.9</v>
      </c>
      <c r="L51" t="s">
        <v>17</v>
      </c>
    </row>
    <row r="52" spans="1:12" x14ac:dyDescent="0.25">
      <c r="A52">
        <v>942</v>
      </c>
      <c r="B52">
        <v>0</v>
      </c>
      <c r="C52">
        <v>1</v>
      </c>
      <c r="D52" t="s">
        <v>95</v>
      </c>
      <c r="E52" t="s">
        <v>13</v>
      </c>
      <c r="F52">
        <v>24</v>
      </c>
      <c r="G52">
        <v>1</v>
      </c>
      <c r="H52">
        <v>0</v>
      </c>
      <c r="I52">
        <v>13695</v>
      </c>
      <c r="J52">
        <v>60</v>
      </c>
      <c r="K52" t="s">
        <v>96</v>
      </c>
      <c r="L52" t="s">
        <v>17</v>
      </c>
    </row>
    <row r="53" spans="1:12" x14ac:dyDescent="0.25">
      <c r="A53">
        <v>943</v>
      </c>
      <c r="B53">
        <v>0</v>
      </c>
      <c r="C53">
        <v>2</v>
      </c>
      <c r="D53" t="s">
        <v>97</v>
      </c>
      <c r="E53" t="s">
        <v>13</v>
      </c>
      <c r="F53">
        <v>27</v>
      </c>
      <c r="G53">
        <v>0</v>
      </c>
      <c r="H53">
        <v>0</v>
      </c>
      <c r="I53" t="s">
        <v>98</v>
      </c>
      <c r="J53">
        <v>15.033300000000001</v>
      </c>
      <c r="L53" t="s">
        <v>25</v>
      </c>
    </row>
    <row r="54" spans="1:12" x14ac:dyDescent="0.25">
      <c r="A54">
        <v>944</v>
      </c>
      <c r="B54">
        <v>1</v>
      </c>
      <c r="C54">
        <v>2</v>
      </c>
      <c r="D54" t="s">
        <v>99</v>
      </c>
      <c r="E54" t="s">
        <v>16</v>
      </c>
      <c r="F54">
        <v>20</v>
      </c>
      <c r="G54">
        <v>2</v>
      </c>
      <c r="H54">
        <v>1</v>
      </c>
      <c r="I54">
        <v>29105</v>
      </c>
      <c r="J54">
        <v>23</v>
      </c>
      <c r="L54" t="s">
        <v>17</v>
      </c>
    </row>
    <row r="55" spans="1:12" x14ac:dyDescent="0.25">
      <c r="A55">
        <v>945</v>
      </c>
      <c r="B55">
        <v>1</v>
      </c>
      <c r="C55">
        <v>1</v>
      </c>
      <c r="D55" t="s">
        <v>100</v>
      </c>
      <c r="E55" t="s">
        <v>16</v>
      </c>
      <c r="F55">
        <v>28</v>
      </c>
      <c r="G55">
        <v>3</v>
      </c>
      <c r="H55">
        <v>2</v>
      </c>
      <c r="I55">
        <v>19950</v>
      </c>
      <c r="J55">
        <v>263</v>
      </c>
      <c r="K55" t="s">
        <v>101</v>
      </c>
      <c r="L55" t="s">
        <v>17</v>
      </c>
    </row>
    <row r="56" spans="1:12" x14ac:dyDescent="0.25">
      <c r="A56">
        <v>946</v>
      </c>
      <c r="B56">
        <v>0</v>
      </c>
      <c r="C56">
        <v>2</v>
      </c>
      <c r="D56" t="s">
        <v>102</v>
      </c>
      <c r="E56" t="s">
        <v>13</v>
      </c>
      <c r="G56">
        <v>0</v>
      </c>
      <c r="H56">
        <v>0</v>
      </c>
      <c r="I56" t="s">
        <v>103</v>
      </c>
      <c r="J56">
        <v>15.5792</v>
      </c>
      <c r="L56" t="s">
        <v>25</v>
      </c>
    </row>
    <row r="57" spans="1:12" x14ac:dyDescent="0.25">
      <c r="A57">
        <v>947</v>
      </c>
      <c r="B57">
        <v>0</v>
      </c>
      <c r="C57">
        <v>3</v>
      </c>
      <c r="D57" t="s">
        <v>104</v>
      </c>
      <c r="E57" t="s">
        <v>13</v>
      </c>
      <c r="F57">
        <v>10</v>
      </c>
      <c r="G57">
        <v>4</v>
      </c>
      <c r="H57">
        <v>1</v>
      </c>
      <c r="I57">
        <v>382652</v>
      </c>
      <c r="J57">
        <v>29.125</v>
      </c>
      <c r="L57" t="s">
        <v>14</v>
      </c>
    </row>
    <row r="58" spans="1:12" x14ac:dyDescent="0.25">
      <c r="A58">
        <v>948</v>
      </c>
      <c r="B58">
        <v>0</v>
      </c>
      <c r="C58">
        <v>3</v>
      </c>
      <c r="D58" t="s">
        <v>105</v>
      </c>
      <c r="E58" t="s">
        <v>13</v>
      </c>
      <c r="F58">
        <v>35</v>
      </c>
      <c r="G58">
        <v>0</v>
      </c>
      <c r="H58">
        <v>0</v>
      </c>
      <c r="I58">
        <v>349230</v>
      </c>
      <c r="J58">
        <v>7.8958000000000004</v>
      </c>
      <c r="L58" t="s">
        <v>17</v>
      </c>
    </row>
    <row r="59" spans="1:12" x14ac:dyDescent="0.25">
      <c r="A59">
        <v>949</v>
      </c>
      <c r="B59">
        <v>0</v>
      </c>
      <c r="C59">
        <v>3</v>
      </c>
      <c r="D59" t="s">
        <v>106</v>
      </c>
      <c r="E59" t="s">
        <v>13</v>
      </c>
      <c r="F59">
        <v>25</v>
      </c>
      <c r="G59">
        <v>0</v>
      </c>
      <c r="H59">
        <v>0</v>
      </c>
      <c r="I59">
        <v>348122</v>
      </c>
      <c r="J59">
        <v>7.65</v>
      </c>
      <c r="K59" t="s">
        <v>107</v>
      </c>
      <c r="L59" t="s">
        <v>17</v>
      </c>
    </row>
    <row r="60" spans="1:12" x14ac:dyDescent="0.25">
      <c r="A60">
        <v>950</v>
      </c>
      <c r="B60">
        <v>0</v>
      </c>
      <c r="C60">
        <v>3</v>
      </c>
      <c r="D60" t="s">
        <v>108</v>
      </c>
      <c r="E60" t="s">
        <v>13</v>
      </c>
      <c r="G60">
        <v>1</v>
      </c>
      <c r="H60">
        <v>0</v>
      </c>
      <c r="I60">
        <v>386525</v>
      </c>
      <c r="J60">
        <v>16.100000000000001</v>
      </c>
      <c r="L60" t="s">
        <v>17</v>
      </c>
    </row>
    <row r="61" spans="1:12" x14ac:dyDescent="0.25">
      <c r="A61">
        <v>951</v>
      </c>
      <c r="B61">
        <v>1</v>
      </c>
      <c r="C61">
        <v>1</v>
      </c>
      <c r="D61" t="s">
        <v>109</v>
      </c>
      <c r="E61" t="s">
        <v>16</v>
      </c>
      <c r="F61">
        <v>36</v>
      </c>
      <c r="G61">
        <v>0</v>
      </c>
      <c r="H61">
        <v>0</v>
      </c>
      <c r="I61" t="s">
        <v>52</v>
      </c>
      <c r="J61">
        <v>262.375</v>
      </c>
      <c r="K61" t="s">
        <v>110</v>
      </c>
      <c r="L61" t="s">
        <v>25</v>
      </c>
    </row>
    <row r="62" spans="1:12" x14ac:dyDescent="0.25">
      <c r="A62">
        <v>952</v>
      </c>
      <c r="B62">
        <v>0</v>
      </c>
      <c r="C62">
        <v>3</v>
      </c>
      <c r="D62" t="s">
        <v>111</v>
      </c>
      <c r="E62" t="s">
        <v>13</v>
      </c>
      <c r="F62">
        <v>17</v>
      </c>
      <c r="G62">
        <v>0</v>
      </c>
      <c r="H62">
        <v>0</v>
      </c>
      <c r="I62">
        <v>349232</v>
      </c>
      <c r="J62">
        <v>7.8958000000000004</v>
      </c>
      <c r="L62" t="s">
        <v>17</v>
      </c>
    </row>
    <row r="63" spans="1:12" x14ac:dyDescent="0.25">
      <c r="A63">
        <v>953</v>
      </c>
      <c r="B63">
        <v>0</v>
      </c>
      <c r="C63">
        <v>2</v>
      </c>
      <c r="D63" t="s">
        <v>112</v>
      </c>
      <c r="E63" t="s">
        <v>13</v>
      </c>
      <c r="F63">
        <v>32</v>
      </c>
      <c r="G63">
        <v>0</v>
      </c>
      <c r="H63">
        <v>0</v>
      </c>
      <c r="I63">
        <v>237216</v>
      </c>
      <c r="J63">
        <v>13.5</v>
      </c>
      <c r="L63" t="s">
        <v>17</v>
      </c>
    </row>
    <row r="64" spans="1:12" x14ac:dyDescent="0.25">
      <c r="A64">
        <v>954</v>
      </c>
      <c r="B64">
        <v>0</v>
      </c>
      <c r="C64">
        <v>3</v>
      </c>
      <c r="D64" t="s">
        <v>113</v>
      </c>
      <c r="E64" t="s">
        <v>13</v>
      </c>
      <c r="F64">
        <v>18</v>
      </c>
      <c r="G64">
        <v>0</v>
      </c>
      <c r="H64">
        <v>0</v>
      </c>
      <c r="I64">
        <v>347090</v>
      </c>
      <c r="J64">
        <v>7.75</v>
      </c>
      <c r="L64" t="s">
        <v>17</v>
      </c>
    </row>
    <row r="65" spans="1:12" x14ac:dyDescent="0.25">
      <c r="A65">
        <v>955</v>
      </c>
      <c r="B65">
        <v>1</v>
      </c>
      <c r="C65">
        <v>3</v>
      </c>
      <c r="D65" t="s">
        <v>114</v>
      </c>
      <c r="E65" t="s">
        <v>16</v>
      </c>
      <c r="F65">
        <v>22</v>
      </c>
      <c r="G65">
        <v>0</v>
      </c>
      <c r="H65">
        <v>0</v>
      </c>
      <c r="I65">
        <v>334914</v>
      </c>
      <c r="J65">
        <v>7.7249999999999996</v>
      </c>
      <c r="L65" t="s">
        <v>14</v>
      </c>
    </row>
    <row r="66" spans="1:12" x14ac:dyDescent="0.25">
      <c r="A66">
        <v>956</v>
      </c>
      <c r="B66">
        <v>0</v>
      </c>
      <c r="C66">
        <v>1</v>
      </c>
      <c r="D66" t="s">
        <v>115</v>
      </c>
      <c r="E66" t="s">
        <v>13</v>
      </c>
      <c r="F66">
        <v>13</v>
      </c>
      <c r="G66">
        <v>2</v>
      </c>
      <c r="H66">
        <v>2</v>
      </c>
      <c r="I66" t="s">
        <v>52</v>
      </c>
      <c r="J66">
        <v>262.375</v>
      </c>
      <c r="K66" t="s">
        <v>53</v>
      </c>
      <c r="L66" t="s">
        <v>25</v>
      </c>
    </row>
    <row r="67" spans="1:12" x14ac:dyDescent="0.25">
      <c r="A67">
        <v>957</v>
      </c>
      <c r="B67">
        <v>1</v>
      </c>
      <c r="C67">
        <v>2</v>
      </c>
      <c r="D67" t="s">
        <v>116</v>
      </c>
      <c r="E67" t="s">
        <v>16</v>
      </c>
      <c r="G67">
        <v>0</v>
      </c>
      <c r="H67">
        <v>0</v>
      </c>
      <c r="I67" t="s">
        <v>117</v>
      </c>
      <c r="J67">
        <v>21</v>
      </c>
      <c r="L67" t="s">
        <v>17</v>
      </c>
    </row>
    <row r="68" spans="1:12" x14ac:dyDescent="0.25">
      <c r="A68">
        <v>958</v>
      </c>
      <c r="B68">
        <v>1</v>
      </c>
      <c r="C68">
        <v>3</v>
      </c>
      <c r="D68" t="s">
        <v>118</v>
      </c>
      <c r="E68" t="s">
        <v>16</v>
      </c>
      <c r="F68">
        <v>18</v>
      </c>
      <c r="G68">
        <v>0</v>
      </c>
      <c r="H68">
        <v>0</v>
      </c>
      <c r="I68">
        <v>330963</v>
      </c>
      <c r="J68">
        <v>7.8792</v>
      </c>
      <c r="L68" t="s">
        <v>14</v>
      </c>
    </row>
    <row r="69" spans="1:12" x14ac:dyDescent="0.25">
      <c r="A69">
        <v>959</v>
      </c>
      <c r="B69">
        <v>0</v>
      </c>
      <c r="C69">
        <v>1</v>
      </c>
      <c r="D69" t="s">
        <v>119</v>
      </c>
      <c r="E69" t="s">
        <v>13</v>
      </c>
      <c r="F69">
        <v>47</v>
      </c>
      <c r="G69">
        <v>0</v>
      </c>
      <c r="H69">
        <v>0</v>
      </c>
      <c r="I69">
        <v>113796</v>
      </c>
      <c r="J69">
        <v>42.4</v>
      </c>
      <c r="L69" t="s">
        <v>17</v>
      </c>
    </row>
    <row r="70" spans="1:12" x14ac:dyDescent="0.25">
      <c r="A70">
        <v>960</v>
      </c>
      <c r="B70">
        <v>0</v>
      </c>
      <c r="C70">
        <v>1</v>
      </c>
      <c r="D70" t="s">
        <v>120</v>
      </c>
      <c r="E70" t="s">
        <v>13</v>
      </c>
      <c r="F70">
        <v>31</v>
      </c>
      <c r="G70">
        <v>0</v>
      </c>
      <c r="H70">
        <v>0</v>
      </c>
      <c r="I70">
        <v>2543</v>
      </c>
      <c r="J70">
        <v>28.537500000000001</v>
      </c>
      <c r="K70" t="s">
        <v>121</v>
      </c>
      <c r="L70" t="s">
        <v>25</v>
      </c>
    </row>
    <row r="71" spans="1:12" x14ac:dyDescent="0.25">
      <c r="A71">
        <v>961</v>
      </c>
      <c r="B71">
        <v>1</v>
      </c>
      <c r="C71">
        <v>1</v>
      </c>
      <c r="D71" t="s">
        <v>122</v>
      </c>
      <c r="E71" t="s">
        <v>16</v>
      </c>
      <c r="F71">
        <v>60</v>
      </c>
      <c r="G71">
        <v>1</v>
      </c>
      <c r="H71">
        <v>4</v>
      </c>
      <c r="I71">
        <v>19950</v>
      </c>
      <c r="J71">
        <v>263</v>
      </c>
      <c r="K71" t="s">
        <v>101</v>
      </c>
      <c r="L71" t="s">
        <v>17</v>
      </c>
    </row>
    <row r="72" spans="1:12" x14ac:dyDescent="0.25">
      <c r="A72">
        <v>962</v>
      </c>
      <c r="B72">
        <v>1</v>
      </c>
      <c r="C72">
        <v>3</v>
      </c>
      <c r="D72" t="s">
        <v>123</v>
      </c>
      <c r="E72" t="s">
        <v>16</v>
      </c>
      <c r="F72">
        <v>24</v>
      </c>
      <c r="G72">
        <v>0</v>
      </c>
      <c r="H72">
        <v>0</v>
      </c>
      <c r="I72">
        <v>382653</v>
      </c>
      <c r="J72">
        <v>7.75</v>
      </c>
      <c r="L72" t="s">
        <v>14</v>
      </c>
    </row>
    <row r="73" spans="1:12" x14ac:dyDescent="0.25">
      <c r="A73">
        <v>963</v>
      </c>
      <c r="B73">
        <v>0</v>
      </c>
      <c r="C73">
        <v>3</v>
      </c>
      <c r="D73" t="s">
        <v>124</v>
      </c>
      <c r="E73" t="s">
        <v>13</v>
      </c>
      <c r="F73">
        <v>21</v>
      </c>
      <c r="G73">
        <v>0</v>
      </c>
      <c r="H73">
        <v>0</v>
      </c>
      <c r="I73">
        <v>349211</v>
      </c>
      <c r="J73">
        <v>7.8958000000000004</v>
      </c>
      <c r="L73" t="s">
        <v>17</v>
      </c>
    </row>
    <row r="74" spans="1:12" x14ac:dyDescent="0.25">
      <c r="A74">
        <v>964</v>
      </c>
      <c r="B74">
        <v>1</v>
      </c>
      <c r="C74">
        <v>3</v>
      </c>
      <c r="D74" t="s">
        <v>125</v>
      </c>
      <c r="E74" t="s">
        <v>16</v>
      </c>
      <c r="F74">
        <v>29</v>
      </c>
      <c r="G74">
        <v>0</v>
      </c>
      <c r="H74">
        <v>0</v>
      </c>
      <c r="I74">
        <v>3101297</v>
      </c>
      <c r="J74">
        <v>7.9249999999999998</v>
      </c>
      <c r="L74" t="s">
        <v>17</v>
      </c>
    </row>
    <row r="75" spans="1:12" x14ac:dyDescent="0.25">
      <c r="A75">
        <v>965</v>
      </c>
      <c r="B75">
        <v>0</v>
      </c>
      <c r="C75">
        <v>1</v>
      </c>
      <c r="D75" t="s">
        <v>126</v>
      </c>
      <c r="E75" t="s">
        <v>13</v>
      </c>
      <c r="F75">
        <v>28.5</v>
      </c>
      <c r="G75">
        <v>0</v>
      </c>
      <c r="H75">
        <v>0</v>
      </c>
      <c r="I75" t="s">
        <v>127</v>
      </c>
      <c r="J75">
        <v>27.720800000000001</v>
      </c>
      <c r="K75" t="s">
        <v>128</v>
      </c>
      <c r="L75" t="s">
        <v>25</v>
      </c>
    </row>
    <row r="76" spans="1:12" x14ac:dyDescent="0.25">
      <c r="A76">
        <v>966</v>
      </c>
      <c r="B76">
        <v>1</v>
      </c>
      <c r="C76">
        <v>1</v>
      </c>
      <c r="D76" t="s">
        <v>129</v>
      </c>
      <c r="E76" t="s">
        <v>16</v>
      </c>
      <c r="F76">
        <v>35</v>
      </c>
      <c r="G76">
        <v>0</v>
      </c>
      <c r="H76">
        <v>0</v>
      </c>
      <c r="I76">
        <v>113503</v>
      </c>
      <c r="J76">
        <v>211.5</v>
      </c>
      <c r="K76" t="s">
        <v>130</v>
      </c>
      <c r="L76" t="s">
        <v>25</v>
      </c>
    </row>
    <row r="77" spans="1:12" x14ac:dyDescent="0.25">
      <c r="A77">
        <v>967</v>
      </c>
      <c r="B77">
        <v>0</v>
      </c>
      <c r="C77">
        <v>1</v>
      </c>
      <c r="D77" t="s">
        <v>131</v>
      </c>
      <c r="E77" t="s">
        <v>13</v>
      </c>
      <c r="F77">
        <v>32.5</v>
      </c>
      <c r="G77">
        <v>0</v>
      </c>
      <c r="H77">
        <v>0</v>
      </c>
      <c r="I77">
        <v>113503</v>
      </c>
      <c r="J77">
        <v>211.5</v>
      </c>
      <c r="K77" t="s">
        <v>132</v>
      </c>
      <c r="L77" t="s">
        <v>25</v>
      </c>
    </row>
    <row r="78" spans="1:12" x14ac:dyDescent="0.25">
      <c r="A78">
        <v>968</v>
      </c>
      <c r="B78">
        <v>0</v>
      </c>
      <c r="C78">
        <v>3</v>
      </c>
      <c r="D78" t="s">
        <v>133</v>
      </c>
      <c r="E78" t="s">
        <v>13</v>
      </c>
      <c r="G78">
        <v>0</v>
      </c>
      <c r="H78">
        <v>0</v>
      </c>
      <c r="I78">
        <v>359306</v>
      </c>
      <c r="J78">
        <v>8.0500000000000007</v>
      </c>
      <c r="L78" t="s">
        <v>17</v>
      </c>
    </row>
    <row r="79" spans="1:12" x14ac:dyDescent="0.25">
      <c r="A79">
        <v>969</v>
      </c>
      <c r="B79">
        <v>1</v>
      </c>
      <c r="C79">
        <v>1</v>
      </c>
      <c r="D79" t="s">
        <v>134</v>
      </c>
      <c r="E79" t="s">
        <v>16</v>
      </c>
      <c r="F79">
        <v>55</v>
      </c>
      <c r="G79">
        <v>2</v>
      </c>
      <c r="H79">
        <v>0</v>
      </c>
      <c r="I79">
        <v>11770</v>
      </c>
      <c r="J79">
        <v>25.7</v>
      </c>
      <c r="K79" t="s">
        <v>135</v>
      </c>
      <c r="L79" t="s">
        <v>17</v>
      </c>
    </row>
    <row r="80" spans="1:12" x14ac:dyDescent="0.25">
      <c r="A80">
        <v>970</v>
      </c>
      <c r="B80">
        <v>0</v>
      </c>
      <c r="C80">
        <v>2</v>
      </c>
      <c r="D80" t="s">
        <v>136</v>
      </c>
      <c r="E80" t="s">
        <v>13</v>
      </c>
      <c r="F80">
        <v>30</v>
      </c>
      <c r="G80">
        <v>0</v>
      </c>
      <c r="H80">
        <v>0</v>
      </c>
      <c r="I80">
        <v>248744</v>
      </c>
      <c r="J80">
        <v>13</v>
      </c>
      <c r="L80" t="s">
        <v>17</v>
      </c>
    </row>
    <row r="81" spans="1:12" x14ac:dyDescent="0.25">
      <c r="A81">
        <v>971</v>
      </c>
      <c r="B81">
        <v>1</v>
      </c>
      <c r="C81">
        <v>3</v>
      </c>
      <c r="D81" t="s">
        <v>137</v>
      </c>
      <c r="E81" t="s">
        <v>16</v>
      </c>
      <c r="F81">
        <v>24</v>
      </c>
      <c r="G81">
        <v>0</v>
      </c>
      <c r="H81">
        <v>0</v>
      </c>
      <c r="I81">
        <v>368702</v>
      </c>
      <c r="J81">
        <v>7.75</v>
      </c>
      <c r="L81" t="s">
        <v>14</v>
      </c>
    </row>
    <row r="82" spans="1:12" x14ac:dyDescent="0.25">
      <c r="A82">
        <v>972</v>
      </c>
      <c r="B82">
        <v>0</v>
      </c>
      <c r="C82">
        <v>3</v>
      </c>
      <c r="D82" t="s">
        <v>138</v>
      </c>
      <c r="E82" t="s">
        <v>13</v>
      </c>
      <c r="F82">
        <v>6</v>
      </c>
      <c r="G82">
        <v>1</v>
      </c>
      <c r="H82">
        <v>1</v>
      </c>
      <c r="I82">
        <v>2678</v>
      </c>
      <c r="J82">
        <v>15.245799999999999</v>
      </c>
      <c r="L82" t="s">
        <v>25</v>
      </c>
    </row>
    <row r="83" spans="1:12" x14ac:dyDescent="0.25">
      <c r="A83">
        <v>973</v>
      </c>
      <c r="B83">
        <v>0</v>
      </c>
      <c r="C83">
        <v>1</v>
      </c>
      <c r="D83" t="s">
        <v>139</v>
      </c>
      <c r="E83" t="s">
        <v>13</v>
      </c>
      <c r="F83">
        <v>67</v>
      </c>
      <c r="G83">
        <v>1</v>
      </c>
      <c r="H83">
        <v>0</v>
      </c>
      <c r="I83" t="s">
        <v>140</v>
      </c>
      <c r="J83">
        <v>221.7792</v>
      </c>
      <c r="K83" t="s">
        <v>141</v>
      </c>
      <c r="L83" t="s">
        <v>17</v>
      </c>
    </row>
    <row r="84" spans="1:12" x14ac:dyDescent="0.25">
      <c r="A84">
        <v>974</v>
      </c>
      <c r="B84">
        <v>0</v>
      </c>
      <c r="C84">
        <v>1</v>
      </c>
      <c r="D84" t="s">
        <v>142</v>
      </c>
      <c r="E84" t="s">
        <v>13</v>
      </c>
      <c r="F84">
        <v>49</v>
      </c>
      <c r="G84">
        <v>0</v>
      </c>
      <c r="H84">
        <v>0</v>
      </c>
      <c r="I84">
        <v>19924</v>
      </c>
      <c r="J84">
        <v>26</v>
      </c>
      <c r="L84" t="s">
        <v>17</v>
      </c>
    </row>
    <row r="85" spans="1:12" x14ac:dyDescent="0.25">
      <c r="A85">
        <v>975</v>
      </c>
      <c r="B85">
        <v>0</v>
      </c>
      <c r="C85">
        <v>3</v>
      </c>
      <c r="D85" t="s">
        <v>143</v>
      </c>
      <c r="E85" t="s">
        <v>13</v>
      </c>
      <c r="G85">
        <v>0</v>
      </c>
      <c r="H85">
        <v>0</v>
      </c>
      <c r="I85">
        <v>349238</v>
      </c>
      <c r="J85">
        <v>7.8958000000000004</v>
      </c>
      <c r="L85" t="s">
        <v>17</v>
      </c>
    </row>
    <row r="86" spans="1:12" x14ac:dyDescent="0.25">
      <c r="A86">
        <v>976</v>
      </c>
      <c r="B86">
        <v>0</v>
      </c>
      <c r="C86">
        <v>2</v>
      </c>
      <c r="D86" t="s">
        <v>144</v>
      </c>
      <c r="E86" t="s">
        <v>13</v>
      </c>
      <c r="G86">
        <v>0</v>
      </c>
      <c r="H86">
        <v>0</v>
      </c>
      <c r="I86">
        <v>240261</v>
      </c>
      <c r="J86">
        <v>10.708299999999999</v>
      </c>
      <c r="L86" t="s">
        <v>14</v>
      </c>
    </row>
    <row r="87" spans="1:12" x14ac:dyDescent="0.25">
      <c r="A87">
        <v>977</v>
      </c>
      <c r="B87">
        <v>0</v>
      </c>
      <c r="C87">
        <v>3</v>
      </c>
      <c r="D87" t="s">
        <v>145</v>
      </c>
      <c r="E87" t="s">
        <v>13</v>
      </c>
      <c r="G87">
        <v>1</v>
      </c>
      <c r="H87">
        <v>0</v>
      </c>
      <c r="I87">
        <v>2660</v>
      </c>
      <c r="J87">
        <v>14.4542</v>
      </c>
      <c r="L87" t="s">
        <v>25</v>
      </c>
    </row>
    <row r="88" spans="1:12" x14ac:dyDescent="0.25">
      <c r="A88">
        <v>978</v>
      </c>
      <c r="B88">
        <v>1</v>
      </c>
      <c r="C88">
        <v>3</v>
      </c>
      <c r="D88" t="s">
        <v>146</v>
      </c>
      <c r="E88" t="s">
        <v>16</v>
      </c>
      <c r="F88">
        <v>27</v>
      </c>
      <c r="G88">
        <v>0</v>
      </c>
      <c r="H88">
        <v>0</v>
      </c>
      <c r="I88">
        <v>330844</v>
      </c>
      <c r="J88">
        <v>7.8792</v>
      </c>
      <c r="L88" t="s">
        <v>14</v>
      </c>
    </row>
    <row r="89" spans="1:12" x14ac:dyDescent="0.25">
      <c r="A89">
        <v>979</v>
      </c>
      <c r="B89">
        <v>1</v>
      </c>
      <c r="C89">
        <v>3</v>
      </c>
      <c r="D89" t="s">
        <v>147</v>
      </c>
      <c r="E89" t="s">
        <v>16</v>
      </c>
      <c r="F89">
        <v>18</v>
      </c>
      <c r="G89">
        <v>0</v>
      </c>
      <c r="H89">
        <v>0</v>
      </c>
      <c r="I89" t="s">
        <v>148</v>
      </c>
      <c r="J89">
        <v>8.0500000000000007</v>
      </c>
      <c r="L89" t="s">
        <v>17</v>
      </c>
    </row>
    <row r="90" spans="1:12" x14ac:dyDescent="0.25">
      <c r="A90">
        <v>980</v>
      </c>
      <c r="B90">
        <v>1</v>
      </c>
      <c r="C90">
        <v>3</v>
      </c>
      <c r="D90" t="s">
        <v>149</v>
      </c>
      <c r="E90" t="s">
        <v>16</v>
      </c>
      <c r="G90">
        <v>0</v>
      </c>
      <c r="H90">
        <v>0</v>
      </c>
      <c r="I90">
        <v>364856</v>
      </c>
      <c r="J90">
        <v>7.75</v>
      </c>
      <c r="L90" t="s">
        <v>14</v>
      </c>
    </row>
    <row r="91" spans="1:12" x14ac:dyDescent="0.25">
      <c r="A91">
        <v>981</v>
      </c>
      <c r="B91">
        <v>0</v>
      </c>
      <c r="C91">
        <v>2</v>
      </c>
      <c r="D91" t="s">
        <v>150</v>
      </c>
      <c r="E91" t="s">
        <v>13</v>
      </c>
      <c r="F91">
        <v>2</v>
      </c>
      <c r="G91">
        <v>1</v>
      </c>
      <c r="H91">
        <v>1</v>
      </c>
      <c r="I91">
        <v>29103</v>
      </c>
      <c r="J91">
        <v>23</v>
      </c>
      <c r="L91" t="s">
        <v>17</v>
      </c>
    </row>
    <row r="92" spans="1:12" x14ac:dyDescent="0.25">
      <c r="A92">
        <v>982</v>
      </c>
      <c r="B92">
        <v>1</v>
      </c>
      <c r="C92">
        <v>3</v>
      </c>
      <c r="D92" t="s">
        <v>151</v>
      </c>
      <c r="E92" t="s">
        <v>16</v>
      </c>
      <c r="F92">
        <v>22</v>
      </c>
      <c r="G92">
        <v>1</v>
      </c>
      <c r="H92">
        <v>0</v>
      </c>
      <c r="I92">
        <v>347072</v>
      </c>
      <c r="J92">
        <v>13.9</v>
      </c>
      <c r="L92" t="s">
        <v>17</v>
      </c>
    </row>
    <row r="93" spans="1:12" x14ac:dyDescent="0.25">
      <c r="A93">
        <v>983</v>
      </c>
      <c r="B93">
        <v>0</v>
      </c>
      <c r="C93">
        <v>3</v>
      </c>
      <c r="D93" t="s">
        <v>152</v>
      </c>
      <c r="E93" t="s">
        <v>13</v>
      </c>
      <c r="G93">
        <v>0</v>
      </c>
      <c r="H93">
        <v>0</v>
      </c>
      <c r="I93">
        <v>345498</v>
      </c>
      <c r="J93">
        <v>7.7750000000000004</v>
      </c>
      <c r="L93" t="s">
        <v>17</v>
      </c>
    </row>
    <row r="94" spans="1:12" x14ac:dyDescent="0.25">
      <c r="A94">
        <v>984</v>
      </c>
      <c r="B94">
        <v>1</v>
      </c>
      <c r="C94">
        <v>1</v>
      </c>
      <c r="D94" t="s">
        <v>153</v>
      </c>
      <c r="E94" t="s">
        <v>16</v>
      </c>
      <c r="F94">
        <v>27</v>
      </c>
      <c r="G94">
        <v>1</v>
      </c>
      <c r="H94">
        <v>2</v>
      </c>
      <c r="I94" t="s">
        <v>154</v>
      </c>
      <c r="J94">
        <v>52</v>
      </c>
      <c r="K94" t="s">
        <v>155</v>
      </c>
      <c r="L94" t="s">
        <v>17</v>
      </c>
    </row>
    <row r="95" spans="1:12" x14ac:dyDescent="0.25">
      <c r="A95">
        <v>985</v>
      </c>
      <c r="B95">
        <v>0</v>
      </c>
      <c r="C95">
        <v>3</v>
      </c>
      <c r="D95" t="s">
        <v>156</v>
      </c>
      <c r="E95" t="s">
        <v>13</v>
      </c>
      <c r="G95">
        <v>0</v>
      </c>
      <c r="H95">
        <v>0</v>
      </c>
      <c r="I95">
        <v>376563</v>
      </c>
      <c r="J95">
        <v>8.0500000000000007</v>
      </c>
      <c r="L95" t="s">
        <v>17</v>
      </c>
    </row>
    <row r="96" spans="1:12" x14ac:dyDescent="0.25">
      <c r="A96">
        <v>986</v>
      </c>
      <c r="B96">
        <v>0</v>
      </c>
      <c r="C96">
        <v>1</v>
      </c>
      <c r="D96" t="s">
        <v>157</v>
      </c>
      <c r="E96" t="s">
        <v>13</v>
      </c>
      <c r="F96">
        <v>25</v>
      </c>
      <c r="G96">
        <v>0</v>
      </c>
      <c r="H96">
        <v>0</v>
      </c>
      <c r="I96">
        <v>13905</v>
      </c>
      <c r="J96">
        <v>26</v>
      </c>
      <c r="L96" t="s">
        <v>25</v>
      </c>
    </row>
    <row r="97" spans="1:12" x14ac:dyDescent="0.25">
      <c r="A97">
        <v>987</v>
      </c>
      <c r="B97">
        <v>0</v>
      </c>
      <c r="C97">
        <v>3</v>
      </c>
      <c r="D97" t="s">
        <v>158</v>
      </c>
      <c r="E97" t="s">
        <v>13</v>
      </c>
      <c r="F97">
        <v>25</v>
      </c>
      <c r="G97">
        <v>0</v>
      </c>
      <c r="H97">
        <v>0</v>
      </c>
      <c r="I97">
        <v>350033</v>
      </c>
      <c r="J97">
        <v>7.7957999999999998</v>
      </c>
      <c r="L97" t="s">
        <v>17</v>
      </c>
    </row>
    <row r="98" spans="1:12" x14ac:dyDescent="0.25">
      <c r="A98">
        <v>988</v>
      </c>
      <c r="B98">
        <v>1</v>
      </c>
      <c r="C98">
        <v>1</v>
      </c>
      <c r="D98" t="s">
        <v>159</v>
      </c>
      <c r="E98" t="s">
        <v>16</v>
      </c>
      <c r="F98">
        <v>76</v>
      </c>
      <c r="G98">
        <v>1</v>
      </c>
      <c r="H98">
        <v>0</v>
      </c>
      <c r="I98">
        <v>19877</v>
      </c>
      <c r="J98">
        <v>78.849999999999994</v>
      </c>
      <c r="K98" t="s">
        <v>160</v>
      </c>
      <c r="L98" t="s">
        <v>17</v>
      </c>
    </row>
    <row r="99" spans="1:12" x14ac:dyDescent="0.25">
      <c r="A99">
        <v>989</v>
      </c>
      <c r="B99">
        <v>0</v>
      </c>
      <c r="C99">
        <v>3</v>
      </c>
      <c r="D99" t="s">
        <v>161</v>
      </c>
      <c r="E99" t="s">
        <v>13</v>
      </c>
      <c r="F99">
        <v>29</v>
      </c>
      <c r="G99">
        <v>0</v>
      </c>
      <c r="H99">
        <v>0</v>
      </c>
      <c r="I99" t="s">
        <v>162</v>
      </c>
      <c r="J99">
        <v>7.9249999999999998</v>
      </c>
      <c r="L99" t="s">
        <v>17</v>
      </c>
    </row>
    <row r="100" spans="1:12" x14ac:dyDescent="0.25">
      <c r="A100">
        <v>990</v>
      </c>
      <c r="B100">
        <v>1</v>
      </c>
      <c r="C100">
        <v>3</v>
      </c>
      <c r="D100" t="s">
        <v>163</v>
      </c>
      <c r="E100" t="s">
        <v>16</v>
      </c>
      <c r="F100">
        <v>20</v>
      </c>
      <c r="G100">
        <v>0</v>
      </c>
      <c r="H100">
        <v>0</v>
      </c>
      <c r="I100">
        <v>347471</v>
      </c>
      <c r="J100">
        <v>7.8541999999999996</v>
      </c>
      <c r="L100" t="s">
        <v>17</v>
      </c>
    </row>
    <row r="101" spans="1:12" x14ac:dyDescent="0.25">
      <c r="A101">
        <v>991</v>
      </c>
      <c r="B101">
        <v>0</v>
      </c>
      <c r="C101">
        <v>3</v>
      </c>
      <c r="D101" t="s">
        <v>164</v>
      </c>
      <c r="E101" t="s">
        <v>13</v>
      </c>
      <c r="F101">
        <v>33</v>
      </c>
      <c r="G101">
        <v>0</v>
      </c>
      <c r="H101">
        <v>0</v>
      </c>
      <c r="I101" t="s">
        <v>165</v>
      </c>
      <c r="J101">
        <v>8.0500000000000007</v>
      </c>
      <c r="L101" t="s">
        <v>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01"/>
  <sheetViews>
    <sheetView topLeftCell="B1" workbookViewId="0">
      <selection activeCell="N23" sqref="N23"/>
    </sheetView>
  </sheetViews>
  <sheetFormatPr defaultRowHeight="15" x14ac:dyDescent="0.25"/>
  <cols>
    <col min="1" max="1" width="10.7109375" bestFit="1" customWidth="1"/>
    <col min="2" max="2" width="7.7109375" bestFit="1" customWidth="1"/>
    <col min="3" max="3" width="5.85546875" bestFit="1" customWidth="1"/>
    <col min="4" max="4" width="56.5703125" bestFit="1" customWidth="1"/>
    <col min="5" max="5" width="6.7109375" bestFit="1" customWidth="1"/>
    <col min="6" max="6" width="5" bestFit="1" customWidth="1"/>
    <col min="7" max="7" width="5.28515625" bestFit="1" customWidth="1"/>
    <col min="8" max="8" width="5.5703125" bestFit="1" customWidth="1"/>
    <col min="9" max="9" width="19.140625" bestFit="1" customWidth="1"/>
    <col min="10" max="10" width="9" bestFit="1" customWidth="1"/>
    <col min="11" max="11" width="14.85546875" bestFit="1" customWidth="1"/>
    <col min="12" max="12" width="9.140625" bestFit="1" customWidth="1"/>
    <col min="14" max="14" width="54.28515625" customWidth="1"/>
    <col min="15" max="15" width="13.42578125" customWidth="1"/>
  </cols>
  <sheetData>
    <row r="1" spans="1:15" x14ac:dyDescent="0.25">
      <c r="A1" t="s">
        <v>0</v>
      </c>
      <c r="B1" t="s">
        <v>1</v>
      </c>
      <c r="C1" t="s">
        <v>2</v>
      </c>
      <c r="D1" t="s">
        <v>3</v>
      </c>
      <c r="E1" t="s">
        <v>4</v>
      </c>
      <c r="F1" t="s">
        <v>5</v>
      </c>
      <c r="G1" t="s">
        <v>6</v>
      </c>
      <c r="H1" t="s">
        <v>7</v>
      </c>
      <c r="I1" t="s">
        <v>8</v>
      </c>
      <c r="J1" t="s">
        <v>9</v>
      </c>
      <c r="K1" t="s">
        <v>10</v>
      </c>
      <c r="L1" t="s">
        <v>11</v>
      </c>
    </row>
    <row r="2" spans="1:15" x14ac:dyDescent="0.25">
      <c r="A2">
        <v>892</v>
      </c>
      <c r="B2">
        <v>0</v>
      </c>
      <c r="C2">
        <v>3</v>
      </c>
      <c r="D2" t="s">
        <v>12</v>
      </c>
      <c r="E2" t="s">
        <v>13</v>
      </c>
      <c r="F2">
        <v>34.5</v>
      </c>
      <c r="G2">
        <v>0</v>
      </c>
      <c r="H2">
        <v>0</v>
      </c>
      <c r="I2">
        <v>330911</v>
      </c>
      <c r="J2">
        <v>7.8292000000000002</v>
      </c>
      <c r="L2" t="s">
        <v>14</v>
      </c>
    </row>
    <row r="3" spans="1:15" x14ac:dyDescent="0.25">
      <c r="A3">
        <v>893</v>
      </c>
      <c r="B3">
        <v>1</v>
      </c>
      <c r="C3">
        <v>3</v>
      </c>
      <c r="D3" t="s">
        <v>15</v>
      </c>
      <c r="E3" t="s">
        <v>16</v>
      </c>
      <c r="F3">
        <v>47</v>
      </c>
      <c r="G3">
        <v>1</v>
      </c>
      <c r="H3">
        <v>0</v>
      </c>
      <c r="I3">
        <v>363272</v>
      </c>
      <c r="J3">
        <v>7</v>
      </c>
      <c r="L3" t="s">
        <v>17</v>
      </c>
      <c r="N3" t="s">
        <v>144</v>
      </c>
      <c r="O3">
        <f>IFERROR(VLOOKUP(N3,D1:L101,3,FALSE),"Not Mentioned")</f>
        <v>0</v>
      </c>
    </row>
    <row r="4" spans="1:15" x14ac:dyDescent="0.25">
      <c r="A4">
        <v>894</v>
      </c>
      <c r="B4">
        <v>0</v>
      </c>
      <c r="C4">
        <v>2</v>
      </c>
      <c r="D4" t="s">
        <v>18</v>
      </c>
      <c r="E4" t="s">
        <v>13</v>
      </c>
      <c r="F4">
        <v>62</v>
      </c>
      <c r="G4">
        <v>0</v>
      </c>
      <c r="H4">
        <v>0</v>
      </c>
      <c r="I4">
        <v>240276</v>
      </c>
      <c r="J4">
        <v>9.6875</v>
      </c>
      <c r="L4" t="s">
        <v>14</v>
      </c>
      <c r="N4" t="s">
        <v>145</v>
      </c>
      <c r="O4">
        <f t="shared" ref="O4:O18" si="0">IFERROR(VLOOKUP(N4,D2:L102,3,FALSE),"Not Mentioned")</f>
        <v>0</v>
      </c>
    </row>
    <row r="5" spans="1:15" x14ac:dyDescent="0.25">
      <c r="A5">
        <v>895</v>
      </c>
      <c r="B5">
        <v>0</v>
      </c>
      <c r="C5">
        <v>3</v>
      </c>
      <c r="D5" t="s">
        <v>19</v>
      </c>
      <c r="E5" t="s">
        <v>13</v>
      </c>
      <c r="F5">
        <v>27</v>
      </c>
      <c r="G5">
        <v>0</v>
      </c>
      <c r="H5">
        <v>0</v>
      </c>
      <c r="I5">
        <v>315154</v>
      </c>
      <c r="J5">
        <v>8.6624999999999996</v>
      </c>
      <c r="L5" t="s">
        <v>17</v>
      </c>
      <c r="N5" t="s">
        <v>146</v>
      </c>
      <c r="O5">
        <f t="shared" si="0"/>
        <v>27</v>
      </c>
    </row>
    <row r="6" spans="1:15" x14ac:dyDescent="0.25">
      <c r="A6">
        <v>896</v>
      </c>
      <c r="B6">
        <v>1</v>
      </c>
      <c r="C6">
        <v>3</v>
      </c>
      <c r="D6" t="s">
        <v>20</v>
      </c>
      <c r="E6" t="s">
        <v>16</v>
      </c>
      <c r="F6">
        <v>22</v>
      </c>
      <c r="G6">
        <v>1</v>
      </c>
      <c r="H6">
        <v>1</v>
      </c>
      <c r="I6">
        <v>3101298</v>
      </c>
      <c r="J6">
        <v>12.2875</v>
      </c>
      <c r="L6" t="s">
        <v>17</v>
      </c>
      <c r="N6" t="s">
        <v>147</v>
      </c>
      <c r="O6">
        <f t="shared" si="0"/>
        <v>18</v>
      </c>
    </row>
    <row r="7" spans="1:15" x14ac:dyDescent="0.25">
      <c r="A7">
        <v>897</v>
      </c>
      <c r="B7">
        <v>0</v>
      </c>
      <c r="C7">
        <v>3</v>
      </c>
      <c r="D7" t="s">
        <v>21</v>
      </c>
      <c r="E7" t="s">
        <v>13</v>
      </c>
      <c r="F7">
        <v>14</v>
      </c>
      <c r="G7">
        <v>0</v>
      </c>
      <c r="H7">
        <v>0</v>
      </c>
      <c r="I7">
        <v>7538</v>
      </c>
      <c r="J7">
        <v>9.2249999999999996</v>
      </c>
      <c r="L7" t="s">
        <v>17</v>
      </c>
      <c r="N7" t="s">
        <v>149</v>
      </c>
      <c r="O7">
        <f t="shared" si="0"/>
        <v>0</v>
      </c>
    </row>
    <row r="8" spans="1:15" x14ac:dyDescent="0.25">
      <c r="A8">
        <v>898</v>
      </c>
      <c r="B8">
        <v>1</v>
      </c>
      <c r="C8">
        <v>3</v>
      </c>
      <c r="D8" t="s">
        <v>22</v>
      </c>
      <c r="E8" t="s">
        <v>16</v>
      </c>
      <c r="F8">
        <v>30</v>
      </c>
      <c r="G8">
        <v>0</v>
      </c>
      <c r="H8">
        <v>0</v>
      </c>
      <c r="I8">
        <v>330972</v>
      </c>
      <c r="J8">
        <v>7.6292</v>
      </c>
      <c r="L8" t="s">
        <v>14</v>
      </c>
      <c r="N8" t="s">
        <v>150</v>
      </c>
      <c r="O8">
        <f t="shared" si="0"/>
        <v>2</v>
      </c>
    </row>
    <row r="9" spans="1:15" x14ac:dyDescent="0.25">
      <c r="A9">
        <v>899</v>
      </c>
      <c r="B9">
        <v>0</v>
      </c>
      <c r="C9">
        <v>2</v>
      </c>
      <c r="D9" t="s">
        <v>23</v>
      </c>
      <c r="E9" t="s">
        <v>13</v>
      </c>
      <c r="F9">
        <v>26</v>
      </c>
      <c r="G9">
        <v>1</v>
      </c>
      <c r="H9">
        <v>1</v>
      </c>
      <c r="I9">
        <v>248738</v>
      </c>
      <c r="J9">
        <v>29</v>
      </c>
      <c r="L9" t="s">
        <v>17</v>
      </c>
      <c r="N9" t="s">
        <v>151</v>
      </c>
      <c r="O9">
        <f t="shared" si="0"/>
        <v>22</v>
      </c>
    </row>
    <row r="10" spans="1:15" x14ac:dyDescent="0.25">
      <c r="A10">
        <v>900</v>
      </c>
      <c r="B10">
        <v>1</v>
      </c>
      <c r="C10">
        <v>3</v>
      </c>
      <c r="D10" t="s">
        <v>24</v>
      </c>
      <c r="E10" t="s">
        <v>16</v>
      </c>
      <c r="F10">
        <v>18</v>
      </c>
      <c r="G10">
        <v>0</v>
      </c>
      <c r="H10">
        <v>0</v>
      </c>
      <c r="I10">
        <v>2657</v>
      </c>
      <c r="J10">
        <v>7.2291999999999996</v>
      </c>
      <c r="L10" t="s">
        <v>25</v>
      </c>
      <c r="N10" t="s">
        <v>179</v>
      </c>
      <c r="O10" t="str">
        <f t="shared" si="0"/>
        <v>Not Mentioned</v>
      </c>
    </row>
    <row r="11" spans="1:15" x14ac:dyDescent="0.25">
      <c r="A11">
        <v>901</v>
      </c>
      <c r="B11">
        <v>0</v>
      </c>
      <c r="C11">
        <v>3</v>
      </c>
      <c r="D11" t="s">
        <v>26</v>
      </c>
      <c r="E11" t="s">
        <v>13</v>
      </c>
      <c r="F11">
        <v>21</v>
      </c>
      <c r="G11">
        <v>2</v>
      </c>
      <c r="H11">
        <v>0</v>
      </c>
      <c r="I11" t="s">
        <v>27</v>
      </c>
      <c r="J11">
        <v>24.15</v>
      </c>
      <c r="L11" t="s">
        <v>17</v>
      </c>
      <c r="N11" t="s">
        <v>153</v>
      </c>
      <c r="O11">
        <f t="shared" si="0"/>
        <v>27</v>
      </c>
    </row>
    <row r="12" spans="1:15" x14ac:dyDescent="0.25">
      <c r="A12">
        <v>902</v>
      </c>
      <c r="B12">
        <v>0</v>
      </c>
      <c r="C12">
        <v>3</v>
      </c>
      <c r="D12" t="s">
        <v>28</v>
      </c>
      <c r="E12" t="s">
        <v>13</v>
      </c>
      <c r="G12">
        <v>0</v>
      </c>
      <c r="H12">
        <v>0</v>
      </c>
      <c r="I12">
        <v>349220</v>
      </c>
      <c r="J12">
        <v>7.8958000000000004</v>
      </c>
      <c r="L12" t="s">
        <v>17</v>
      </c>
      <c r="N12" t="s">
        <v>156</v>
      </c>
      <c r="O12">
        <f t="shared" si="0"/>
        <v>0</v>
      </c>
    </row>
    <row r="13" spans="1:15" x14ac:dyDescent="0.25">
      <c r="A13">
        <v>903</v>
      </c>
      <c r="B13">
        <v>0</v>
      </c>
      <c r="C13">
        <v>1</v>
      </c>
      <c r="D13" t="s">
        <v>29</v>
      </c>
      <c r="E13" t="s">
        <v>13</v>
      </c>
      <c r="F13">
        <v>46</v>
      </c>
      <c r="G13">
        <v>0</v>
      </c>
      <c r="H13">
        <v>0</v>
      </c>
      <c r="I13">
        <v>694</v>
      </c>
      <c r="J13">
        <v>26</v>
      </c>
      <c r="L13" t="s">
        <v>17</v>
      </c>
      <c r="N13" t="s">
        <v>157</v>
      </c>
      <c r="O13">
        <f t="shared" si="0"/>
        <v>25</v>
      </c>
    </row>
    <row r="14" spans="1:15" x14ac:dyDescent="0.25">
      <c r="A14">
        <v>904</v>
      </c>
      <c r="B14">
        <v>1</v>
      </c>
      <c r="C14">
        <v>1</v>
      </c>
      <c r="D14" t="s">
        <v>30</v>
      </c>
      <c r="E14" t="s">
        <v>16</v>
      </c>
      <c r="F14">
        <v>23</v>
      </c>
      <c r="G14">
        <v>1</v>
      </c>
      <c r="H14">
        <v>0</v>
      </c>
      <c r="I14">
        <v>21228</v>
      </c>
      <c r="J14">
        <v>82.2667</v>
      </c>
      <c r="K14" t="s">
        <v>31</v>
      </c>
      <c r="L14" t="s">
        <v>17</v>
      </c>
      <c r="N14" t="s">
        <v>180</v>
      </c>
      <c r="O14" t="str">
        <f t="shared" si="0"/>
        <v>Not Mentioned</v>
      </c>
    </row>
    <row r="15" spans="1:15" x14ac:dyDescent="0.25">
      <c r="A15">
        <v>905</v>
      </c>
      <c r="B15">
        <v>0</v>
      </c>
      <c r="C15">
        <v>2</v>
      </c>
      <c r="D15" t="s">
        <v>32</v>
      </c>
      <c r="E15" t="s">
        <v>13</v>
      </c>
      <c r="F15">
        <v>63</v>
      </c>
      <c r="G15">
        <v>1</v>
      </c>
      <c r="H15">
        <v>0</v>
      </c>
      <c r="I15">
        <v>24065</v>
      </c>
      <c r="J15">
        <v>26</v>
      </c>
      <c r="L15" t="s">
        <v>17</v>
      </c>
      <c r="N15" t="s">
        <v>184</v>
      </c>
      <c r="O15" t="str">
        <f t="shared" si="0"/>
        <v>Not Mentioned</v>
      </c>
    </row>
    <row r="16" spans="1:15" x14ac:dyDescent="0.25">
      <c r="A16">
        <v>906</v>
      </c>
      <c r="B16">
        <v>1</v>
      </c>
      <c r="C16">
        <v>1</v>
      </c>
      <c r="D16" t="s">
        <v>33</v>
      </c>
      <c r="E16" t="s">
        <v>16</v>
      </c>
      <c r="F16">
        <v>47</v>
      </c>
      <c r="G16">
        <v>1</v>
      </c>
      <c r="H16">
        <v>0</v>
      </c>
      <c r="I16" t="s">
        <v>34</v>
      </c>
      <c r="J16">
        <v>61.174999999999997</v>
      </c>
      <c r="K16" t="s">
        <v>35</v>
      </c>
      <c r="L16" t="s">
        <v>17</v>
      </c>
      <c r="N16" t="s">
        <v>181</v>
      </c>
      <c r="O16" t="str">
        <f t="shared" si="0"/>
        <v>Not Mentioned</v>
      </c>
    </row>
    <row r="17" spans="1:15" x14ac:dyDescent="0.25">
      <c r="A17">
        <v>907</v>
      </c>
      <c r="B17">
        <v>1</v>
      </c>
      <c r="C17">
        <v>2</v>
      </c>
      <c r="D17" t="s">
        <v>36</v>
      </c>
      <c r="E17" t="s">
        <v>16</v>
      </c>
      <c r="F17">
        <v>24</v>
      </c>
      <c r="G17">
        <v>1</v>
      </c>
      <c r="H17">
        <v>0</v>
      </c>
      <c r="I17" t="s">
        <v>37</v>
      </c>
      <c r="J17">
        <v>27.720800000000001</v>
      </c>
      <c r="L17" t="s">
        <v>25</v>
      </c>
      <c r="N17" t="s">
        <v>182</v>
      </c>
      <c r="O17" t="str">
        <f t="shared" si="0"/>
        <v>Not Mentioned</v>
      </c>
    </row>
    <row r="18" spans="1:15" x14ac:dyDescent="0.25">
      <c r="A18">
        <v>908</v>
      </c>
      <c r="B18">
        <v>0</v>
      </c>
      <c r="C18">
        <v>2</v>
      </c>
      <c r="D18" t="s">
        <v>38</v>
      </c>
      <c r="E18" t="s">
        <v>13</v>
      </c>
      <c r="F18">
        <v>35</v>
      </c>
      <c r="G18">
        <v>0</v>
      </c>
      <c r="H18">
        <v>0</v>
      </c>
      <c r="I18">
        <v>233734</v>
      </c>
      <c r="J18">
        <v>12.35</v>
      </c>
      <c r="L18" t="s">
        <v>14</v>
      </c>
      <c r="N18" t="s">
        <v>183</v>
      </c>
      <c r="O18" t="str">
        <f t="shared" si="0"/>
        <v>Not Mentioned</v>
      </c>
    </row>
    <row r="19" spans="1:15" x14ac:dyDescent="0.25">
      <c r="A19">
        <v>909</v>
      </c>
      <c r="B19">
        <v>0</v>
      </c>
      <c r="C19">
        <v>3</v>
      </c>
      <c r="D19" t="s">
        <v>39</v>
      </c>
      <c r="E19" t="s">
        <v>13</v>
      </c>
      <c r="F19">
        <v>21</v>
      </c>
      <c r="G19">
        <v>0</v>
      </c>
      <c r="H19">
        <v>0</v>
      </c>
      <c r="I19">
        <v>2692</v>
      </c>
      <c r="J19">
        <v>7.2249999999999996</v>
      </c>
      <c r="L19" t="s">
        <v>25</v>
      </c>
    </row>
    <row r="20" spans="1:15" x14ac:dyDescent="0.25">
      <c r="A20">
        <v>910</v>
      </c>
      <c r="B20">
        <v>1</v>
      </c>
      <c r="C20">
        <v>3</v>
      </c>
      <c r="D20" t="s">
        <v>40</v>
      </c>
      <c r="E20" t="s">
        <v>16</v>
      </c>
      <c r="F20">
        <v>27</v>
      </c>
      <c r="G20">
        <v>1</v>
      </c>
      <c r="H20">
        <v>0</v>
      </c>
      <c r="I20" t="s">
        <v>41</v>
      </c>
      <c r="J20">
        <v>7.9249999999999998</v>
      </c>
      <c r="L20" t="s">
        <v>17</v>
      </c>
    </row>
    <row r="21" spans="1:15" x14ac:dyDescent="0.25">
      <c r="A21">
        <v>911</v>
      </c>
      <c r="B21">
        <v>1</v>
      </c>
      <c r="C21">
        <v>3</v>
      </c>
      <c r="D21" t="s">
        <v>42</v>
      </c>
      <c r="E21" t="s">
        <v>16</v>
      </c>
      <c r="F21">
        <v>45</v>
      </c>
      <c r="G21">
        <v>0</v>
      </c>
      <c r="H21">
        <v>0</v>
      </c>
      <c r="I21">
        <v>2696</v>
      </c>
      <c r="J21">
        <v>7.2249999999999996</v>
      </c>
      <c r="L21" t="s">
        <v>25</v>
      </c>
    </row>
    <row r="22" spans="1:15" x14ac:dyDescent="0.25">
      <c r="A22">
        <v>912</v>
      </c>
      <c r="B22">
        <v>0</v>
      </c>
      <c r="C22">
        <v>1</v>
      </c>
      <c r="D22" t="s">
        <v>43</v>
      </c>
      <c r="E22" t="s">
        <v>13</v>
      </c>
      <c r="F22">
        <v>55</v>
      </c>
      <c r="G22">
        <v>1</v>
      </c>
      <c r="H22">
        <v>0</v>
      </c>
      <c r="I22" t="s">
        <v>44</v>
      </c>
      <c r="J22">
        <v>59.4</v>
      </c>
      <c r="L22" t="s">
        <v>25</v>
      </c>
    </row>
    <row r="23" spans="1:15" x14ac:dyDescent="0.25">
      <c r="A23">
        <v>913</v>
      </c>
      <c r="B23">
        <v>0</v>
      </c>
      <c r="C23">
        <v>3</v>
      </c>
      <c r="D23" t="s">
        <v>45</v>
      </c>
      <c r="E23" t="s">
        <v>13</v>
      </c>
      <c r="F23">
        <v>9</v>
      </c>
      <c r="G23">
        <v>0</v>
      </c>
      <c r="H23">
        <v>1</v>
      </c>
      <c r="I23" t="s">
        <v>46</v>
      </c>
      <c r="J23">
        <v>3.1707999999999998</v>
      </c>
      <c r="L23" t="s">
        <v>17</v>
      </c>
    </row>
    <row r="24" spans="1:15" x14ac:dyDescent="0.25">
      <c r="A24">
        <v>914</v>
      </c>
      <c r="B24">
        <v>1</v>
      </c>
      <c r="C24">
        <v>1</v>
      </c>
      <c r="D24" t="s">
        <v>47</v>
      </c>
      <c r="E24" t="s">
        <v>16</v>
      </c>
      <c r="G24">
        <v>0</v>
      </c>
      <c r="H24">
        <v>0</v>
      </c>
      <c r="I24" t="s">
        <v>48</v>
      </c>
      <c r="J24">
        <v>31.683299999999999</v>
      </c>
      <c r="L24" t="s">
        <v>17</v>
      </c>
    </row>
    <row r="25" spans="1:15" x14ac:dyDescent="0.25">
      <c r="A25">
        <v>915</v>
      </c>
      <c r="B25">
        <v>0</v>
      </c>
      <c r="C25">
        <v>1</v>
      </c>
      <c r="D25" t="s">
        <v>49</v>
      </c>
      <c r="E25" t="s">
        <v>13</v>
      </c>
      <c r="F25">
        <v>21</v>
      </c>
      <c r="G25">
        <v>0</v>
      </c>
      <c r="H25">
        <v>1</v>
      </c>
      <c r="I25" t="s">
        <v>50</v>
      </c>
      <c r="J25">
        <v>61.379199999999997</v>
      </c>
      <c r="L25" t="s">
        <v>25</v>
      </c>
    </row>
    <row r="26" spans="1:15" x14ac:dyDescent="0.25">
      <c r="A26">
        <v>916</v>
      </c>
      <c r="B26">
        <v>1</v>
      </c>
      <c r="C26">
        <v>1</v>
      </c>
      <c r="D26" t="s">
        <v>51</v>
      </c>
      <c r="E26" t="s">
        <v>16</v>
      </c>
      <c r="F26">
        <v>48</v>
      </c>
      <c r="G26">
        <v>1</v>
      </c>
      <c r="H26">
        <v>3</v>
      </c>
      <c r="I26" t="s">
        <v>52</v>
      </c>
      <c r="J26">
        <v>262.375</v>
      </c>
      <c r="K26" t="s">
        <v>53</v>
      </c>
      <c r="L26" t="s">
        <v>25</v>
      </c>
    </row>
    <row r="27" spans="1:15" x14ac:dyDescent="0.25">
      <c r="A27">
        <v>917</v>
      </c>
      <c r="B27">
        <v>0</v>
      </c>
      <c r="C27">
        <v>3</v>
      </c>
      <c r="D27" t="s">
        <v>54</v>
      </c>
      <c r="E27" t="s">
        <v>13</v>
      </c>
      <c r="F27">
        <v>50</v>
      </c>
      <c r="G27">
        <v>1</v>
      </c>
      <c r="H27">
        <v>0</v>
      </c>
      <c r="I27" t="s">
        <v>55</v>
      </c>
      <c r="J27">
        <v>14.5</v>
      </c>
      <c r="L27" t="s">
        <v>17</v>
      </c>
    </row>
    <row r="28" spans="1:15" x14ac:dyDescent="0.25">
      <c r="A28">
        <v>918</v>
      </c>
      <c r="B28">
        <v>1</v>
      </c>
      <c r="C28">
        <v>1</v>
      </c>
      <c r="D28" t="s">
        <v>56</v>
      </c>
      <c r="E28" t="s">
        <v>16</v>
      </c>
      <c r="F28">
        <v>22</v>
      </c>
      <c r="G28">
        <v>0</v>
      </c>
      <c r="H28">
        <v>1</v>
      </c>
      <c r="I28">
        <v>113509</v>
      </c>
      <c r="J28">
        <v>61.979199999999999</v>
      </c>
      <c r="K28" t="s">
        <v>57</v>
      </c>
      <c r="L28" t="s">
        <v>25</v>
      </c>
    </row>
    <row r="29" spans="1:15" x14ac:dyDescent="0.25">
      <c r="A29">
        <v>919</v>
      </c>
      <c r="B29">
        <v>0</v>
      </c>
      <c r="C29">
        <v>3</v>
      </c>
      <c r="D29" t="s">
        <v>58</v>
      </c>
      <c r="E29" t="s">
        <v>13</v>
      </c>
      <c r="F29">
        <v>22.5</v>
      </c>
      <c r="G29">
        <v>0</v>
      </c>
      <c r="H29">
        <v>0</v>
      </c>
      <c r="I29">
        <v>2698</v>
      </c>
      <c r="J29">
        <v>7.2249999999999996</v>
      </c>
      <c r="L29" t="s">
        <v>25</v>
      </c>
    </row>
    <row r="30" spans="1:15" x14ac:dyDescent="0.25">
      <c r="A30">
        <v>920</v>
      </c>
      <c r="B30">
        <v>0</v>
      </c>
      <c r="C30">
        <v>1</v>
      </c>
      <c r="D30" t="s">
        <v>59</v>
      </c>
      <c r="E30" t="s">
        <v>13</v>
      </c>
      <c r="F30">
        <v>41</v>
      </c>
      <c r="G30">
        <v>0</v>
      </c>
      <c r="H30">
        <v>0</v>
      </c>
      <c r="I30">
        <v>113054</v>
      </c>
      <c r="J30">
        <v>30.5</v>
      </c>
      <c r="K30" t="s">
        <v>60</v>
      </c>
      <c r="L30" t="s">
        <v>17</v>
      </c>
    </row>
    <row r="31" spans="1:15" x14ac:dyDescent="0.25">
      <c r="A31">
        <v>921</v>
      </c>
      <c r="B31">
        <v>0</v>
      </c>
      <c r="C31">
        <v>3</v>
      </c>
      <c r="D31" t="s">
        <v>61</v>
      </c>
      <c r="E31" t="s">
        <v>13</v>
      </c>
      <c r="G31">
        <v>2</v>
      </c>
      <c r="H31">
        <v>0</v>
      </c>
      <c r="I31">
        <v>2662</v>
      </c>
      <c r="J31">
        <v>21.679200000000002</v>
      </c>
      <c r="L31" t="s">
        <v>25</v>
      </c>
    </row>
    <row r="32" spans="1:15" x14ac:dyDescent="0.25">
      <c r="A32">
        <v>922</v>
      </c>
      <c r="B32">
        <v>0</v>
      </c>
      <c r="C32">
        <v>2</v>
      </c>
      <c r="D32" t="s">
        <v>62</v>
      </c>
      <c r="E32" t="s">
        <v>13</v>
      </c>
      <c r="F32">
        <v>50</v>
      </c>
      <c r="G32">
        <v>1</v>
      </c>
      <c r="H32">
        <v>0</v>
      </c>
      <c r="I32" t="s">
        <v>63</v>
      </c>
      <c r="J32">
        <v>26</v>
      </c>
      <c r="L32" t="s">
        <v>17</v>
      </c>
    </row>
    <row r="33" spans="1:12" x14ac:dyDescent="0.25">
      <c r="A33">
        <v>923</v>
      </c>
      <c r="B33">
        <v>0</v>
      </c>
      <c r="C33">
        <v>2</v>
      </c>
      <c r="D33" t="s">
        <v>64</v>
      </c>
      <c r="E33" t="s">
        <v>13</v>
      </c>
      <c r="F33">
        <v>24</v>
      </c>
      <c r="G33">
        <v>2</v>
      </c>
      <c r="H33">
        <v>0</v>
      </c>
      <c r="I33" t="s">
        <v>65</v>
      </c>
      <c r="J33">
        <v>31.5</v>
      </c>
      <c r="L33" t="s">
        <v>17</v>
      </c>
    </row>
    <row r="34" spans="1:12" x14ac:dyDescent="0.25">
      <c r="A34">
        <v>924</v>
      </c>
      <c r="B34">
        <v>1</v>
      </c>
      <c r="C34">
        <v>3</v>
      </c>
      <c r="D34" t="s">
        <v>66</v>
      </c>
      <c r="E34" t="s">
        <v>16</v>
      </c>
      <c r="F34">
        <v>33</v>
      </c>
      <c r="G34">
        <v>1</v>
      </c>
      <c r="H34">
        <v>2</v>
      </c>
      <c r="I34" t="s">
        <v>67</v>
      </c>
      <c r="J34">
        <v>20.574999999999999</v>
      </c>
      <c r="L34" t="s">
        <v>17</v>
      </c>
    </row>
    <row r="35" spans="1:12" x14ac:dyDescent="0.25">
      <c r="A35">
        <v>925</v>
      </c>
      <c r="B35">
        <v>1</v>
      </c>
      <c r="C35">
        <v>3</v>
      </c>
      <c r="D35" t="s">
        <v>68</v>
      </c>
      <c r="E35" t="s">
        <v>16</v>
      </c>
      <c r="G35">
        <v>1</v>
      </c>
      <c r="H35">
        <v>2</v>
      </c>
      <c r="I35" t="s">
        <v>69</v>
      </c>
      <c r="J35">
        <v>23.45</v>
      </c>
      <c r="L35" t="s">
        <v>17</v>
      </c>
    </row>
    <row r="36" spans="1:12" x14ac:dyDescent="0.25">
      <c r="A36">
        <v>926</v>
      </c>
      <c r="B36">
        <v>0</v>
      </c>
      <c r="C36">
        <v>1</v>
      </c>
      <c r="D36" t="s">
        <v>70</v>
      </c>
      <c r="E36" t="s">
        <v>13</v>
      </c>
      <c r="F36">
        <v>30</v>
      </c>
      <c r="G36">
        <v>1</v>
      </c>
      <c r="H36">
        <v>0</v>
      </c>
      <c r="I36">
        <v>13236</v>
      </c>
      <c r="J36">
        <v>57.75</v>
      </c>
      <c r="K36" t="s">
        <v>71</v>
      </c>
      <c r="L36" t="s">
        <v>25</v>
      </c>
    </row>
    <row r="37" spans="1:12" x14ac:dyDescent="0.25">
      <c r="A37">
        <v>927</v>
      </c>
      <c r="B37">
        <v>0</v>
      </c>
      <c r="C37">
        <v>3</v>
      </c>
      <c r="D37" t="s">
        <v>72</v>
      </c>
      <c r="E37" t="s">
        <v>13</v>
      </c>
      <c r="F37">
        <v>18.5</v>
      </c>
      <c r="G37">
        <v>0</v>
      </c>
      <c r="H37">
        <v>0</v>
      </c>
      <c r="I37">
        <v>2682</v>
      </c>
      <c r="J37">
        <v>7.2291999999999996</v>
      </c>
      <c r="L37" t="s">
        <v>25</v>
      </c>
    </row>
    <row r="38" spans="1:12" x14ac:dyDescent="0.25">
      <c r="A38">
        <v>928</v>
      </c>
      <c r="B38">
        <v>1</v>
      </c>
      <c r="C38">
        <v>3</v>
      </c>
      <c r="D38" t="s">
        <v>73</v>
      </c>
      <c r="E38" t="s">
        <v>16</v>
      </c>
      <c r="G38">
        <v>0</v>
      </c>
      <c r="H38">
        <v>0</v>
      </c>
      <c r="I38">
        <v>342712</v>
      </c>
      <c r="J38">
        <v>8.0500000000000007</v>
      </c>
      <c r="L38" t="s">
        <v>17</v>
      </c>
    </row>
    <row r="39" spans="1:12" x14ac:dyDescent="0.25">
      <c r="A39">
        <v>929</v>
      </c>
      <c r="B39">
        <v>1</v>
      </c>
      <c r="C39">
        <v>3</v>
      </c>
      <c r="D39" t="s">
        <v>74</v>
      </c>
      <c r="E39" t="s">
        <v>16</v>
      </c>
      <c r="F39">
        <v>21</v>
      </c>
      <c r="G39">
        <v>0</v>
      </c>
      <c r="H39">
        <v>0</v>
      </c>
      <c r="I39">
        <v>315087</v>
      </c>
      <c r="J39">
        <v>8.6624999999999996</v>
      </c>
      <c r="L39" t="s">
        <v>17</v>
      </c>
    </row>
    <row r="40" spans="1:12" x14ac:dyDescent="0.25">
      <c r="A40">
        <v>930</v>
      </c>
      <c r="B40">
        <v>0</v>
      </c>
      <c r="C40">
        <v>3</v>
      </c>
      <c r="D40" t="s">
        <v>75</v>
      </c>
      <c r="E40" t="s">
        <v>13</v>
      </c>
      <c r="F40">
        <v>25</v>
      </c>
      <c r="G40">
        <v>0</v>
      </c>
      <c r="H40">
        <v>0</v>
      </c>
      <c r="I40">
        <v>345768</v>
      </c>
      <c r="J40">
        <v>9.5</v>
      </c>
      <c r="L40" t="s">
        <v>17</v>
      </c>
    </row>
    <row r="41" spans="1:12" x14ac:dyDescent="0.25">
      <c r="A41">
        <v>931</v>
      </c>
      <c r="B41">
        <v>0</v>
      </c>
      <c r="C41">
        <v>3</v>
      </c>
      <c r="D41" t="s">
        <v>76</v>
      </c>
      <c r="E41" t="s">
        <v>13</v>
      </c>
      <c r="G41">
        <v>0</v>
      </c>
      <c r="H41">
        <v>0</v>
      </c>
      <c r="I41">
        <v>1601</v>
      </c>
      <c r="J41">
        <v>56.495800000000003</v>
      </c>
      <c r="L41" t="s">
        <v>17</v>
      </c>
    </row>
    <row r="42" spans="1:12" x14ac:dyDescent="0.25">
      <c r="A42">
        <v>932</v>
      </c>
      <c r="B42">
        <v>0</v>
      </c>
      <c r="C42">
        <v>3</v>
      </c>
      <c r="D42" t="s">
        <v>77</v>
      </c>
      <c r="E42" t="s">
        <v>13</v>
      </c>
      <c r="F42">
        <v>39</v>
      </c>
      <c r="G42">
        <v>0</v>
      </c>
      <c r="H42">
        <v>1</v>
      </c>
      <c r="I42">
        <v>349256</v>
      </c>
      <c r="J42">
        <v>13.416700000000001</v>
      </c>
      <c r="L42" t="s">
        <v>25</v>
      </c>
    </row>
    <row r="43" spans="1:12" x14ac:dyDescent="0.25">
      <c r="A43">
        <v>933</v>
      </c>
      <c r="B43">
        <v>0</v>
      </c>
      <c r="C43">
        <v>1</v>
      </c>
      <c r="D43" t="s">
        <v>78</v>
      </c>
      <c r="E43" t="s">
        <v>13</v>
      </c>
      <c r="G43">
        <v>0</v>
      </c>
      <c r="H43">
        <v>0</v>
      </c>
      <c r="I43">
        <v>113778</v>
      </c>
      <c r="J43">
        <v>26.55</v>
      </c>
      <c r="K43" t="s">
        <v>79</v>
      </c>
      <c r="L43" t="s">
        <v>17</v>
      </c>
    </row>
    <row r="44" spans="1:12" x14ac:dyDescent="0.25">
      <c r="A44">
        <v>934</v>
      </c>
      <c r="B44">
        <v>0</v>
      </c>
      <c r="C44">
        <v>3</v>
      </c>
      <c r="D44" t="s">
        <v>80</v>
      </c>
      <c r="E44" t="s">
        <v>13</v>
      </c>
      <c r="F44">
        <v>41</v>
      </c>
      <c r="G44">
        <v>0</v>
      </c>
      <c r="H44">
        <v>0</v>
      </c>
      <c r="I44" t="s">
        <v>81</v>
      </c>
      <c r="J44">
        <v>7.85</v>
      </c>
      <c r="L44" t="s">
        <v>17</v>
      </c>
    </row>
    <row r="45" spans="1:12" x14ac:dyDescent="0.25">
      <c r="A45">
        <v>935</v>
      </c>
      <c r="B45">
        <v>1</v>
      </c>
      <c r="C45">
        <v>2</v>
      </c>
      <c r="D45" t="s">
        <v>82</v>
      </c>
      <c r="E45" t="s">
        <v>16</v>
      </c>
      <c r="F45">
        <v>30</v>
      </c>
      <c r="G45">
        <v>0</v>
      </c>
      <c r="H45">
        <v>0</v>
      </c>
      <c r="I45">
        <v>237249</v>
      </c>
      <c r="J45">
        <v>13</v>
      </c>
      <c r="L45" t="s">
        <v>17</v>
      </c>
    </row>
    <row r="46" spans="1:12" x14ac:dyDescent="0.25">
      <c r="A46">
        <v>936</v>
      </c>
      <c r="B46">
        <v>1</v>
      </c>
      <c r="C46">
        <v>1</v>
      </c>
      <c r="D46" t="s">
        <v>83</v>
      </c>
      <c r="E46" t="s">
        <v>16</v>
      </c>
      <c r="F46">
        <v>45</v>
      </c>
      <c r="G46">
        <v>1</v>
      </c>
      <c r="H46">
        <v>0</v>
      </c>
      <c r="I46">
        <v>11753</v>
      </c>
      <c r="J46">
        <v>52.554200000000002</v>
      </c>
      <c r="K46" t="s">
        <v>84</v>
      </c>
      <c r="L46" t="s">
        <v>17</v>
      </c>
    </row>
    <row r="47" spans="1:12" x14ac:dyDescent="0.25">
      <c r="A47">
        <v>937</v>
      </c>
      <c r="B47">
        <v>0</v>
      </c>
      <c r="C47">
        <v>3</v>
      </c>
      <c r="D47" t="s">
        <v>85</v>
      </c>
      <c r="E47" t="s">
        <v>13</v>
      </c>
      <c r="F47">
        <v>25</v>
      </c>
      <c r="G47">
        <v>0</v>
      </c>
      <c r="H47">
        <v>0</v>
      </c>
      <c r="I47" t="s">
        <v>86</v>
      </c>
      <c r="J47">
        <v>7.9249999999999998</v>
      </c>
      <c r="L47" t="s">
        <v>17</v>
      </c>
    </row>
    <row r="48" spans="1:12" x14ac:dyDescent="0.25">
      <c r="A48">
        <v>938</v>
      </c>
      <c r="B48">
        <v>0</v>
      </c>
      <c r="C48">
        <v>1</v>
      </c>
      <c r="D48" t="s">
        <v>87</v>
      </c>
      <c r="E48" t="s">
        <v>13</v>
      </c>
      <c r="F48">
        <v>45</v>
      </c>
      <c r="G48">
        <v>0</v>
      </c>
      <c r="H48">
        <v>0</v>
      </c>
      <c r="I48" t="s">
        <v>88</v>
      </c>
      <c r="J48">
        <v>29.7</v>
      </c>
      <c r="K48" t="s">
        <v>89</v>
      </c>
      <c r="L48" t="s">
        <v>25</v>
      </c>
    </row>
    <row r="49" spans="1:12" x14ac:dyDescent="0.25">
      <c r="A49">
        <v>939</v>
      </c>
      <c r="B49">
        <v>0</v>
      </c>
      <c r="C49">
        <v>3</v>
      </c>
      <c r="D49" t="s">
        <v>90</v>
      </c>
      <c r="E49" t="s">
        <v>13</v>
      </c>
      <c r="G49">
        <v>0</v>
      </c>
      <c r="H49">
        <v>0</v>
      </c>
      <c r="I49">
        <v>370374</v>
      </c>
      <c r="J49">
        <v>7.75</v>
      </c>
      <c r="L49" t="s">
        <v>14</v>
      </c>
    </row>
    <row r="50" spans="1:12" x14ac:dyDescent="0.25">
      <c r="A50">
        <v>940</v>
      </c>
      <c r="B50">
        <v>1</v>
      </c>
      <c r="C50">
        <v>1</v>
      </c>
      <c r="D50" t="s">
        <v>91</v>
      </c>
      <c r="E50" t="s">
        <v>16</v>
      </c>
      <c r="F50">
        <v>60</v>
      </c>
      <c r="G50">
        <v>0</v>
      </c>
      <c r="H50">
        <v>0</v>
      </c>
      <c r="I50">
        <v>11813</v>
      </c>
      <c r="J50">
        <v>76.291700000000006</v>
      </c>
      <c r="K50" t="s">
        <v>92</v>
      </c>
      <c r="L50" t="s">
        <v>25</v>
      </c>
    </row>
    <row r="51" spans="1:12" x14ac:dyDescent="0.25">
      <c r="A51">
        <v>941</v>
      </c>
      <c r="B51">
        <v>1</v>
      </c>
      <c r="C51">
        <v>3</v>
      </c>
      <c r="D51" t="s">
        <v>93</v>
      </c>
      <c r="E51" t="s">
        <v>16</v>
      </c>
      <c r="F51">
        <v>36</v>
      </c>
      <c r="G51">
        <v>0</v>
      </c>
      <c r="H51">
        <v>2</v>
      </c>
      <c r="I51" t="s">
        <v>94</v>
      </c>
      <c r="J51">
        <v>15.9</v>
      </c>
      <c r="L51" t="s">
        <v>17</v>
      </c>
    </row>
    <row r="52" spans="1:12" x14ac:dyDescent="0.25">
      <c r="A52">
        <v>942</v>
      </c>
      <c r="B52">
        <v>0</v>
      </c>
      <c r="C52">
        <v>1</v>
      </c>
      <c r="D52" t="s">
        <v>95</v>
      </c>
      <c r="E52" t="s">
        <v>13</v>
      </c>
      <c r="F52">
        <v>24</v>
      </c>
      <c r="G52">
        <v>1</v>
      </c>
      <c r="H52">
        <v>0</v>
      </c>
      <c r="I52">
        <v>13695</v>
      </c>
      <c r="J52">
        <v>60</v>
      </c>
      <c r="K52" t="s">
        <v>96</v>
      </c>
      <c r="L52" t="s">
        <v>17</v>
      </c>
    </row>
    <row r="53" spans="1:12" x14ac:dyDescent="0.25">
      <c r="A53">
        <v>943</v>
      </c>
      <c r="B53">
        <v>0</v>
      </c>
      <c r="C53">
        <v>2</v>
      </c>
      <c r="D53" t="s">
        <v>97</v>
      </c>
      <c r="E53" t="s">
        <v>13</v>
      </c>
      <c r="F53">
        <v>27</v>
      </c>
      <c r="G53">
        <v>0</v>
      </c>
      <c r="H53">
        <v>0</v>
      </c>
      <c r="I53" t="s">
        <v>98</v>
      </c>
      <c r="J53">
        <v>15.033300000000001</v>
      </c>
      <c r="L53" t="s">
        <v>25</v>
      </c>
    </row>
    <row r="54" spans="1:12" x14ac:dyDescent="0.25">
      <c r="A54">
        <v>944</v>
      </c>
      <c r="B54">
        <v>1</v>
      </c>
      <c r="C54">
        <v>2</v>
      </c>
      <c r="D54" t="s">
        <v>99</v>
      </c>
      <c r="E54" t="s">
        <v>16</v>
      </c>
      <c r="F54">
        <v>20</v>
      </c>
      <c r="G54">
        <v>2</v>
      </c>
      <c r="H54">
        <v>1</v>
      </c>
      <c r="I54">
        <v>29105</v>
      </c>
      <c r="J54">
        <v>23</v>
      </c>
      <c r="L54" t="s">
        <v>17</v>
      </c>
    </row>
    <row r="55" spans="1:12" x14ac:dyDescent="0.25">
      <c r="A55">
        <v>945</v>
      </c>
      <c r="B55">
        <v>1</v>
      </c>
      <c r="C55">
        <v>1</v>
      </c>
      <c r="D55" t="s">
        <v>100</v>
      </c>
      <c r="E55" t="s">
        <v>16</v>
      </c>
      <c r="F55">
        <v>28</v>
      </c>
      <c r="G55">
        <v>3</v>
      </c>
      <c r="H55">
        <v>2</v>
      </c>
      <c r="I55">
        <v>19950</v>
      </c>
      <c r="J55">
        <v>263</v>
      </c>
      <c r="K55" t="s">
        <v>101</v>
      </c>
      <c r="L55" t="s">
        <v>17</v>
      </c>
    </row>
    <row r="56" spans="1:12" x14ac:dyDescent="0.25">
      <c r="A56">
        <v>946</v>
      </c>
      <c r="B56">
        <v>0</v>
      </c>
      <c r="C56">
        <v>2</v>
      </c>
      <c r="D56" t="s">
        <v>102</v>
      </c>
      <c r="E56" t="s">
        <v>13</v>
      </c>
      <c r="G56">
        <v>0</v>
      </c>
      <c r="H56">
        <v>0</v>
      </c>
      <c r="I56" t="s">
        <v>103</v>
      </c>
      <c r="J56">
        <v>15.5792</v>
      </c>
      <c r="L56" t="s">
        <v>25</v>
      </c>
    </row>
    <row r="57" spans="1:12" x14ac:dyDescent="0.25">
      <c r="A57">
        <v>947</v>
      </c>
      <c r="B57">
        <v>0</v>
      </c>
      <c r="C57">
        <v>3</v>
      </c>
      <c r="D57" t="s">
        <v>104</v>
      </c>
      <c r="E57" t="s">
        <v>13</v>
      </c>
      <c r="F57">
        <v>10</v>
      </c>
      <c r="G57">
        <v>4</v>
      </c>
      <c r="H57">
        <v>1</v>
      </c>
      <c r="I57">
        <v>382652</v>
      </c>
      <c r="J57">
        <v>29.125</v>
      </c>
      <c r="L57" t="s">
        <v>14</v>
      </c>
    </row>
    <row r="58" spans="1:12" x14ac:dyDescent="0.25">
      <c r="A58">
        <v>948</v>
      </c>
      <c r="B58">
        <v>0</v>
      </c>
      <c r="C58">
        <v>3</v>
      </c>
      <c r="D58" t="s">
        <v>105</v>
      </c>
      <c r="E58" t="s">
        <v>13</v>
      </c>
      <c r="F58">
        <v>35</v>
      </c>
      <c r="G58">
        <v>0</v>
      </c>
      <c r="H58">
        <v>0</v>
      </c>
      <c r="I58">
        <v>349230</v>
      </c>
      <c r="J58">
        <v>7.8958000000000004</v>
      </c>
      <c r="L58" t="s">
        <v>17</v>
      </c>
    </row>
    <row r="59" spans="1:12" x14ac:dyDescent="0.25">
      <c r="A59">
        <v>949</v>
      </c>
      <c r="B59">
        <v>0</v>
      </c>
      <c r="C59">
        <v>3</v>
      </c>
      <c r="D59" t="s">
        <v>106</v>
      </c>
      <c r="E59" t="s">
        <v>13</v>
      </c>
      <c r="F59">
        <v>25</v>
      </c>
      <c r="G59">
        <v>0</v>
      </c>
      <c r="H59">
        <v>0</v>
      </c>
      <c r="I59">
        <v>348122</v>
      </c>
      <c r="J59">
        <v>7.65</v>
      </c>
      <c r="K59" t="s">
        <v>107</v>
      </c>
      <c r="L59" t="s">
        <v>17</v>
      </c>
    </row>
    <row r="60" spans="1:12" x14ac:dyDescent="0.25">
      <c r="A60">
        <v>950</v>
      </c>
      <c r="B60">
        <v>0</v>
      </c>
      <c r="C60">
        <v>3</v>
      </c>
      <c r="D60" t="s">
        <v>108</v>
      </c>
      <c r="E60" t="s">
        <v>13</v>
      </c>
      <c r="G60">
        <v>1</v>
      </c>
      <c r="H60">
        <v>0</v>
      </c>
      <c r="I60">
        <v>386525</v>
      </c>
      <c r="J60">
        <v>16.100000000000001</v>
      </c>
      <c r="L60" t="s">
        <v>17</v>
      </c>
    </row>
    <row r="61" spans="1:12" x14ac:dyDescent="0.25">
      <c r="A61">
        <v>951</v>
      </c>
      <c r="B61">
        <v>1</v>
      </c>
      <c r="C61">
        <v>1</v>
      </c>
      <c r="D61" t="s">
        <v>109</v>
      </c>
      <c r="E61" t="s">
        <v>16</v>
      </c>
      <c r="F61">
        <v>36</v>
      </c>
      <c r="G61">
        <v>0</v>
      </c>
      <c r="H61">
        <v>0</v>
      </c>
      <c r="I61" t="s">
        <v>52</v>
      </c>
      <c r="J61">
        <v>262.375</v>
      </c>
      <c r="K61" t="s">
        <v>110</v>
      </c>
      <c r="L61" t="s">
        <v>25</v>
      </c>
    </row>
    <row r="62" spans="1:12" x14ac:dyDescent="0.25">
      <c r="A62">
        <v>952</v>
      </c>
      <c r="B62">
        <v>0</v>
      </c>
      <c r="C62">
        <v>3</v>
      </c>
      <c r="D62" t="s">
        <v>111</v>
      </c>
      <c r="E62" t="s">
        <v>13</v>
      </c>
      <c r="F62">
        <v>17</v>
      </c>
      <c r="G62">
        <v>0</v>
      </c>
      <c r="H62">
        <v>0</v>
      </c>
      <c r="I62">
        <v>349232</v>
      </c>
      <c r="J62">
        <v>7.8958000000000004</v>
      </c>
      <c r="L62" t="s">
        <v>17</v>
      </c>
    </row>
    <row r="63" spans="1:12" x14ac:dyDescent="0.25">
      <c r="A63">
        <v>953</v>
      </c>
      <c r="B63">
        <v>0</v>
      </c>
      <c r="C63">
        <v>2</v>
      </c>
      <c r="D63" t="s">
        <v>112</v>
      </c>
      <c r="E63" t="s">
        <v>13</v>
      </c>
      <c r="F63">
        <v>32</v>
      </c>
      <c r="G63">
        <v>0</v>
      </c>
      <c r="H63">
        <v>0</v>
      </c>
      <c r="I63">
        <v>237216</v>
      </c>
      <c r="J63">
        <v>13.5</v>
      </c>
      <c r="L63" t="s">
        <v>17</v>
      </c>
    </row>
    <row r="64" spans="1:12" x14ac:dyDescent="0.25">
      <c r="A64">
        <v>954</v>
      </c>
      <c r="B64">
        <v>0</v>
      </c>
      <c r="C64">
        <v>3</v>
      </c>
      <c r="D64" t="s">
        <v>113</v>
      </c>
      <c r="E64" t="s">
        <v>13</v>
      </c>
      <c r="F64">
        <v>18</v>
      </c>
      <c r="G64">
        <v>0</v>
      </c>
      <c r="H64">
        <v>0</v>
      </c>
      <c r="I64">
        <v>347090</v>
      </c>
      <c r="J64">
        <v>7.75</v>
      </c>
      <c r="L64" t="s">
        <v>17</v>
      </c>
    </row>
    <row r="65" spans="1:12" x14ac:dyDescent="0.25">
      <c r="A65">
        <v>955</v>
      </c>
      <c r="B65">
        <v>1</v>
      </c>
      <c r="C65">
        <v>3</v>
      </c>
      <c r="D65" t="s">
        <v>114</v>
      </c>
      <c r="E65" t="s">
        <v>16</v>
      </c>
      <c r="F65">
        <v>22</v>
      </c>
      <c r="G65">
        <v>0</v>
      </c>
      <c r="H65">
        <v>0</v>
      </c>
      <c r="I65">
        <v>334914</v>
      </c>
      <c r="J65">
        <v>7.7249999999999996</v>
      </c>
      <c r="L65" t="s">
        <v>14</v>
      </c>
    </row>
    <row r="66" spans="1:12" x14ac:dyDescent="0.25">
      <c r="A66">
        <v>956</v>
      </c>
      <c r="B66">
        <v>0</v>
      </c>
      <c r="C66">
        <v>1</v>
      </c>
      <c r="D66" t="s">
        <v>115</v>
      </c>
      <c r="E66" t="s">
        <v>13</v>
      </c>
      <c r="F66">
        <v>13</v>
      </c>
      <c r="G66">
        <v>2</v>
      </c>
      <c r="H66">
        <v>2</v>
      </c>
      <c r="I66" t="s">
        <v>52</v>
      </c>
      <c r="J66">
        <v>262.375</v>
      </c>
      <c r="K66" t="s">
        <v>53</v>
      </c>
      <c r="L66" t="s">
        <v>25</v>
      </c>
    </row>
    <row r="67" spans="1:12" x14ac:dyDescent="0.25">
      <c r="A67">
        <v>957</v>
      </c>
      <c r="B67">
        <v>1</v>
      </c>
      <c r="C67">
        <v>2</v>
      </c>
      <c r="D67" t="s">
        <v>116</v>
      </c>
      <c r="E67" t="s">
        <v>16</v>
      </c>
      <c r="G67">
        <v>0</v>
      </c>
      <c r="H67">
        <v>0</v>
      </c>
      <c r="I67" t="s">
        <v>117</v>
      </c>
      <c r="J67">
        <v>21</v>
      </c>
      <c r="L67" t="s">
        <v>17</v>
      </c>
    </row>
    <row r="68" spans="1:12" x14ac:dyDescent="0.25">
      <c r="A68">
        <v>958</v>
      </c>
      <c r="B68">
        <v>1</v>
      </c>
      <c r="C68">
        <v>3</v>
      </c>
      <c r="D68" t="s">
        <v>118</v>
      </c>
      <c r="E68" t="s">
        <v>16</v>
      </c>
      <c r="F68">
        <v>18</v>
      </c>
      <c r="G68">
        <v>0</v>
      </c>
      <c r="H68">
        <v>0</v>
      </c>
      <c r="I68">
        <v>330963</v>
      </c>
      <c r="J68">
        <v>7.8792</v>
      </c>
      <c r="L68" t="s">
        <v>14</v>
      </c>
    </row>
    <row r="69" spans="1:12" x14ac:dyDescent="0.25">
      <c r="A69">
        <v>959</v>
      </c>
      <c r="B69">
        <v>0</v>
      </c>
      <c r="C69">
        <v>1</v>
      </c>
      <c r="D69" t="s">
        <v>119</v>
      </c>
      <c r="E69" t="s">
        <v>13</v>
      </c>
      <c r="F69">
        <v>47</v>
      </c>
      <c r="G69">
        <v>0</v>
      </c>
      <c r="H69">
        <v>0</v>
      </c>
      <c r="I69">
        <v>113796</v>
      </c>
      <c r="J69">
        <v>42.4</v>
      </c>
      <c r="L69" t="s">
        <v>17</v>
      </c>
    </row>
    <row r="70" spans="1:12" x14ac:dyDescent="0.25">
      <c r="A70">
        <v>960</v>
      </c>
      <c r="B70">
        <v>0</v>
      </c>
      <c r="C70">
        <v>1</v>
      </c>
      <c r="D70" t="s">
        <v>120</v>
      </c>
      <c r="E70" t="s">
        <v>13</v>
      </c>
      <c r="F70">
        <v>31</v>
      </c>
      <c r="G70">
        <v>0</v>
      </c>
      <c r="H70">
        <v>0</v>
      </c>
      <c r="I70">
        <v>2543</v>
      </c>
      <c r="J70">
        <v>28.537500000000001</v>
      </c>
      <c r="K70" t="s">
        <v>121</v>
      </c>
      <c r="L70" t="s">
        <v>25</v>
      </c>
    </row>
    <row r="71" spans="1:12" x14ac:dyDescent="0.25">
      <c r="A71">
        <v>961</v>
      </c>
      <c r="B71">
        <v>1</v>
      </c>
      <c r="C71">
        <v>1</v>
      </c>
      <c r="D71" t="s">
        <v>122</v>
      </c>
      <c r="E71" t="s">
        <v>16</v>
      </c>
      <c r="F71">
        <v>60</v>
      </c>
      <c r="G71">
        <v>1</v>
      </c>
      <c r="H71">
        <v>4</v>
      </c>
      <c r="I71">
        <v>19950</v>
      </c>
      <c r="J71">
        <v>263</v>
      </c>
      <c r="K71" t="s">
        <v>101</v>
      </c>
      <c r="L71" t="s">
        <v>17</v>
      </c>
    </row>
    <row r="72" spans="1:12" x14ac:dyDescent="0.25">
      <c r="A72">
        <v>962</v>
      </c>
      <c r="B72">
        <v>1</v>
      </c>
      <c r="C72">
        <v>3</v>
      </c>
      <c r="D72" t="s">
        <v>123</v>
      </c>
      <c r="E72" t="s">
        <v>16</v>
      </c>
      <c r="F72">
        <v>24</v>
      </c>
      <c r="G72">
        <v>0</v>
      </c>
      <c r="H72">
        <v>0</v>
      </c>
      <c r="I72">
        <v>382653</v>
      </c>
      <c r="J72">
        <v>7.75</v>
      </c>
      <c r="L72" t="s">
        <v>14</v>
      </c>
    </row>
    <row r="73" spans="1:12" x14ac:dyDescent="0.25">
      <c r="A73">
        <v>963</v>
      </c>
      <c r="B73">
        <v>0</v>
      </c>
      <c r="C73">
        <v>3</v>
      </c>
      <c r="D73" t="s">
        <v>124</v>
      </c>
      <c r="E73" t="s">
        <v>13</v>
      </c>
      <c r="F73">
        <v>21</v>
      </c>
      <c r="G73">
        <v>0</v>
      </c>
      <c r="H73">
        <v>0</v>
      </c>
      <c r="I73">
        <v>349211</v>
      </c>
      <c r="J73">
        <v>7.8958000000000004</v>
      </c>
      <c r="L73" t="s">
        <v>17</v>
      </c>
    </row>
    <row r="74" spans="1:12" x14ac:dyDescent="0.25">
      <c r="A74">
        <v>964</v>
      </c>
      <c r="B74">
        <v>1</v>
      </c>
      <c r="C74">
        <v>3</v>
      </c>
      <c r="D74" t="s">
        <v>125</v>
      </c>
      <c r="E74" t="s">
        <v>16</v>
      </c>
      <c r="F74">
        <v>29</v>
      </c>
      <c r="G74">
        <v>0</v>
      </c>
      <c r="H74">
        <v>0</v>
      </c>
      <c r="I74">
        <v>3101297</v>
      </c>
      <c r="J74">
        <v>7.9249999999999998</v>
      </c>
      <c r="L74" t="s">
        <v>17</v>
      </c>
    </row>
    <row r="75" spans="1:12" x14ac:dyDescent="0.25">
      <c r="A75">
        <v>965</v>
      </c>
      <c r="B75">
        <v>0</v>
      </c>
      <c r="C75">
        <v>1</v>
      </c>
      <c r="D75" t="s">
        <v>126</v>
      </c>
      <c r="E75" t="s">
        <v>13</v>
      </c>
      <c r="F75">
        <v>28.5</v>
      </c>
      <c r="G75">
        <v>0</v>
      </c>
      <c r="H75">
        <v>0</v>
      </c>
      <c r="I75" t="s">
        <v>127</v>
      </c>
      <c r="J75">
        <v>27.720800000000001</v>
      </c>
      <c r="K75" t="s">
        <v>128</v>
      </c>
      <c r="L75" t="s">
        <v>25</v>
      </c>
    </row>
    <row r="76" spans="1:12" x14ac:dyDescent="0.25">
      <c r="A76">
        <v>966</v>
      </c>
      <c r="B76">
        <v>1</v>
      </c>
      <c r="C76">
        <v>1</v>
      </c>
      <c r="D76" t="s">
        <v>129</v>
      </c>
      <c r="E76" t="s">
        <v>16</v>
      </c>
      <c r="F76">
        <v>35</v>
      </c>
      <c r="G76">
        <v>0</v>
      </c>
      <c r="H76">
        <v>0</v>
      </c>
      <c r="I76">
        <v>113503</v>
      </c>
      <c r="J76">
        <v>211.5</v>
      </c>
      <c r="K76" t="s">
        <v>130</v>
      </c>
      <c r="L76" t="s">
        <v>25</v>
      </c>
    </row>
    <row r="77" spans="1:12" x14ac:dyDescent="0.25">
      <c r="A77">
        <v>967</v>
      </c>
      <c r="B77">
        <v>0</v>
      </c>
      <c r="C77">
        <v>1</v>
      </c>
      <c r="D77" t="s">
        <v>131</v>
      </c>
      <c r="E77" t="s">
        <v>13</v>
      </c>
      <c r="F77">
        <v>32.5</v>
      </c>
      <c r="G77">
        <v>0</v>
      </c>
      <c r="H77">
        <v>0</v>
      </c>
      <c r="I77">
        <v>113503</v>
      </c>
      <c r="J77">
        <v>211.5</v>
      </c>
      <c r="K77" t="s">
        <v>132</v>
      </c>
      <c r="L77" t="s">
        <v>25</v>
      </c>
    </row>
    <row r="78" spans="1:12" x14ac:dyDescent="0.25">
      <c r="A78">
        <v>968</v>
      </c>
      <c r="B78">
        <v>0</v>
      </c>
      <c r="C78">
        <v>3</v>
      </c>
      <c r="D78" t="s">
        <v>133</v>
      </c>
      <c r="E78" t="s">
        <v>13</v>
      </c>
      <c r="G78">
        <v>0</v>
      </c>
      <c r="H78">
        <v>0</v>
      </c>
      <c r="I78">
        <v>359306</v>
      </c>
      <c r="J78">
        <v>8.0500000000000007</v>
      </c>
      <c r="L78" t="s">
        <v>17</v>
      </c>
    </row>
    <row r="79" spans="1:12" x14ac:dyDescent="0.25">
      <c r="A79">
        <v>969</v>
      </c>
      <c r="B79">
        <v>1</v>
      </c>
      <c r="C79">
        <v>1</v>
      </c>
      <c r="D79" t="s">
        <v>134</v>
      </c>
      <c r="E79" t="s">
        <v>16</v>
      </c>
      <c r="F79">
        <v>55</v>
      </c>
      <c r="G79">
        <v>2</v>
      </c>
      <c r="H79">
        <v>0</v>
      </c>
      <c r="I79">
        <v>11770</v>
      </c>
      <c r="J79">
        <v>25.7</v>
      </c>
      <c r="K79" t="s">
        <v>135</v>
      </c>
      <c r="L79" t="s">
        <v>17</v>
      </c>
    </row>
    <row r="80" spans="1:12" x14ac:dyDescent="0.25">
      <c r="A80">
        <v>970</v>
      </c>
      <c r="B80">
        <v>0</v>
      </c>
      <c r="C80">
        <v>2</v>
      </c>
      <c r="D80" t="s">
        <v>136</v>
      </c>
      <c r="E80" t="s">
        <v>13</v>
      </c>
      <c r="F80">
        <v>30</v>
      </c>
      <c r="G80">
        <v>0</v>
      </c>
      <c r="H80">
        <v>0</v>
      </c>
      <c r="I80">
        <v>248744</v>
      </c>
      <c r="J80">
        <v>13</v>
      </c>
      <c r="L80" t="s">
        <v>17</v>
      </c>
    </row>
    <row r="81" spans="1:12" x14ac:dyDescent="0.25">
      <c r="A81">
        <v>971</v>
      </c>
      <c r="B81">
        <v>1</v>
      </c>
      <c r="C81">
        <v>3</v>
      </c>
      <c r="D81" t="s">
        <v>137</v>
      </c>
      <c r="E81" t="s">
        <v>16</v>
      </c>
      <c r="F81">
        <v>24</v>
      </c>
      <c r="G81">
        <v>0</v>
      </c>
      <c r="H81">
        <v>0</v>
      </c>
      <c r="I81">
        <v>368702</v>
      </c>
      <c r="J81">
        <v>7.75</v>
      </c>
      <c r="L81" t="s">
        <v>14</v>
      </c>
    </row>
    <row r="82" spans="1:12" x14ac:dyDescent="0.25">
      <c r="A82">
        <v>972</v>
      </c>
      <c r="B82">
        <v>0</v>
      </c>
      <c r="C82">
        <v>3</v>
      </c>
      <c r="D82" t="s">
        <v>138</v>
      </c>
      <c r="E82" t="s">
        <v>13</v>
      </c>
      <c r="F82">
        <v>6</v>
      </c>
      <c r="G82">
        <v>1</v>
      </c>
      <c r="H82">
        <v>1</v>
      </c>
      <c r="I82">
        <v>2678</v>
      </c>
      <c r="J82">
        <v>15.245799999999999</v>
      </c>
      <c r="L82" t="s">
        <v>25</v>
      </c>
    </row>
    <row r="83" spans="1:12" x14ac:dyDescent="0.25">
      <c r="A83">
        <v>973</v>
      </c>
      <c r="B83">
        <v>0</v>
      </c>
      <c r="C83">
        <v>1</v>
      </c>
      <c r="D83" t="s">
        <v>139</v>
      </c>
      <c r="E83" t="s">
        <v>13</v>
      </c>
      <c r="F83">
        <v>67</v>
      </c>
      <c r="G83">
        <v>1</v>
      </c>
      <c r="H83">
        <v>0</v>
      </c>
      <c r="I83" t="s">
        <v>140</v>
      </c>
      <c r="J83">
        <v>221.7792</v>
      </c>
      <c r="K83" t="s">
        <v>141</v>
      </c>
      <c r="L83" t="s">
        <v>17</v>
      </c>
    </row>
    <row r="84" spans="1:12" x14ac:dyDescent="0.25">
      <c r="A84">
        <v>974</v>
      </c>
      <c r="B84">
        <v>0</v>
      </c>
      <c r="C84">
        <v>1</v>
      </c>
      <c r="D84" t="s">
        <v>142</v>
      </c>
      <c r="E84" t="s">
        <v>13</v>
      </c>
      <c r="F84">
        <v>49</v>
      </c>
      <c r="G84">
        <v>0</v>
      </c>
      <c r="H84">
        <v>0</v>
      </c>
      <c r="I84">
        <v>19924</v>
      </c>
      <c r="J84">
        <v>26</v>
      </c>
      <c r="L84" t="s">
        <v>17</v>
      </c>
    </row>
    <row r="85" spans="1:12" x14ac:dyDescent="0.25">
      <c r="A85">
        <v>975</v>
      </c>
      <c r="B85">
        <v>0</v>
      </c>
      <c r="C85">
        <v>3</v>
      </c>
      <c r="D85" t="s">
        <v>143</v>
      </c>
      <c r="E85" t="s">
        <v>13</v>
      </c>
      <c r="G85">
        <v>0</v>
      </c>
      <c r="H85">
        <v>0</v>
      </c>
      <c r="I85">
        <v>349238</v>
      </c>
      <c r="J85">
        <v>7.8958000000000004</v>
      </c>
      <c r="L85" t="s">
        <v>17</v>
      </c>
    </row>
    <row r="86" spans="1:12" x14ac:dyDescent="0.25">
      <c r="A86">
        <v>976</v>
      </c>
      <c r="B86">
        <v>0</v>
      </c>
      <c r="C86">
        <v>2</v>
      </c>
      <c r="D86" t="s">
        <v>144</v>
      </c>
      <c r="E86" t="s">
        <v>13</v>
      </c>
      <c r="G86">
        <v>0</v>
      </c>
      <c r="H86">
        <v>0</v>
      </c>
      <c r="I86">
        <v>240261</v>
      </c>
      <c r="J86">
        <v>10.708299999999999</v>
      </c>
      <c r="L86" t="s">
        <v>14</v>
      </c>
    </row>
    <row r="87" spans="1:12" x14ac:dyDescent="0.25">
      <c r="A87">
        <v>977</v>
      </c>
      <c r="B87">
        <v>0</v>
      </c>
      <c r="C87">
        <v>3</v>
      </c>
      <c r="D87" t="s">
        <v>145</v>
      </c>
      <c r="E87" t="s">
        <v>13</v>
      </c>
      <c r="G87">
        <v>1</v>
      </c>
      <c r="H87">
        <v>0</v>
      </c>
      <c r="I87">
        <v>2660</v>
      </c>
      <c r="J87">
        <v>14.4542</v>
      </c>
      <c r="L87" t="s">
        <v>25</v>
      </c>
    </row>
    <row r="88" spans="1:12" x14ac:dyDescent="0.25">
      <c r="A88">
        <v>978</v>
      </c>
      <c r="B88">
        <v>1</v>
      </c>
      <c r="C88">
        <v>3</v>
      </c>
      <c r="D88" t="s">
        <v>146</v>
      </c>
      <c r="E88" t="s">
        <v>16</v>
      </c>
      <c r="F88">
        <v>27</v>
      </c>
      <c r="G88">
        <v>0</v>
      </c>
      <c r="H88">
        <v>0</v>
      </c>
      <c r="I88">
        <v>330844</v>
      </c>
      <c r="J88">
        <v>7.8792</v>
      </c>
      <c r="L88" t="s">
        <v>14</v>
      </c>
    </row>
    <row r="89" spans="1:12" x14ac:dyDescent="0.25">
      <c r="A89">
        <v>979</v>
      </c>
      <c r="B89">
        <v>1</v>
      </c>
      <c r="C89">
        <v>3</v>
      </c>
      <c r="D89" t="s">
        <v>147</v>
      </c>
      <c r="E89" t="s">
        <v>16</v>
      </c>
      <c r="F89">
        <v>18</v>
      </c>
      <c r="G89">
        <v>0</v>
      </c>
      <c r="H89">
        <v>0</v>
      </c>
      <c r="I89" t="s">
        <v>148</v>
      </c>
      <c r="J89">
        <v>8.0500000000000007</v>
      </c>
      <c r="L89" t="s">
        <v>17</v>
      </c>
    </row>
    <row r="90" spans="1:12" x14ac:dyDescent="0.25">
      <c r="A90">
        <v>980</v>
      </c>
      <c r="B90">
        <v>1</v>
      </c>
      <c r="C90">
        <v>3</v>
      </c>
      <c r="D90" t="s">
        <v>149</v>
      </c>
      <c r="E90" t="s">
        <v>16</v>
      </c>
      <c r="G90">
        <v>0</v>
      </c>
      <c r="H90">
        <v>0</v>
      </c>
      <c r="I90">
        <v>364856</v>
      </c>
      <c r="J90">
        <v>7.75</v>
      </c>
      <c r="L90" t="s">
        <v>14</v>
      </c>
    </row>
    <row r="91" spans="1:12" x14ac:dyDescent="0.25">
      <c r="A91">
        <v>981</v>
      </c>
      <c r="B91">
        <v>0</v>
      </c>
      <c r="C91">
        <v>2</v>
      </c>
      <c r="D91" t="s">
        <v>150</v>
      </c>
      <c r="E91" t="s">
        <v>13</v>
      </c>
      <c r="F91">
        <v>2</v>
      </c>
      <c r="G91">
        <v>1</v>
      </c>
      <c r="H91">
        <v>1</v>
      </c>
      <c r="I91">
        <v>29103</v>
      </c>
      <c r="J91">
        <v>23</v>
      </c>
      <c r="L91" t="s">
        <v>17</v>
      </c>
    </row>
    <row r="92" spans="1:12" x14ac:dyDescent="0.25">
      <c r="A92">
        <v>982</v>
      </c>
      <c r="B92">
        <v>1</v>
      </c>
      <c r="C92">
        <v>3</v>
      </c>
      <c r="D92" t="s">
        <v>151</v>
      </c>
      <c r="E92" t="s">
        <v>16</v>
      </c>
      <c r="F92">
        <v>22</v>
      </c>
      <c r="G92">
        <v>1</v>
      </c>
      <c r="H92">
        <v>0</v>
      </c>
      <c r="I92">
        <v>347072</v>
      </c>
      <c r="J92">
        <v>13.9</v>
      </c>
      <c r="L92" t="s">
        <v>17</v>
      </c>
    </row>
    <row r="93" spans="1:12" x14ac:dyDescent="0.25">
      <c r="A93">
        <v>983</v>
      </c>
      <c r="B93">
        <v>0</v>
      </c>
      <c r="C93">
        <v>3</v>
      </c>
      <c r="D93" t="s">
        <v>152</v>
      </c>
      <c r="E93" t="s">
        <v>13</v>
      </c>
      <c r="G93">
        <v>0</v>
      </c>
      <c r="H93">
        <v>0</v>
      </c>
      <c r="I93">
        <v>345498</v>
      </c>
      <c r="J93">
        <v>7.7750000000000004</v>
      </c>
      <c r="L93" t="s">
        <v>17</v>
      </c>
    </row>
    <row r="94" spans="1:12" x14ac:dyDescent="0.25">
      <c r="A94">
        <v>984</v>
      </c>
      <c r="B94">
        <v>1</v>
      </c>
      <c r="C94">
        <v>1</v>
      </c>
      <c r="D94" t="s">
        <v>153</v>
      </c>
      <c r="E94" t="s">
        <v>16</v>
      </c>
      <c r="F94">
        <v>27</v>
      </c>
      <c r="G94">
        <v>1</v>
      </c>
      <c r="H94">
        <v>2</v>
      </c>
      <c r="I94" t="s">
        <v>154</v>
      </c>
      <c r="J94">
        <v>52</v>
      </c>
      <c r="K94" t="s">
        <v>155</v>
      </c>
      <c r="L94" t="s">
        <v>17</v>
      </c>
    </row>
    <row r="95" spans="1:12" x14ac:dyDescent="0.25">
      <c r="A95">
        <v>985</v>
      </c>
      <c r="B95">
        <v>0</v>
      </c>
      <c r="C95">
        <v>3</v>
      </c>
      <c r="D95" t="s">
        <v>156</v>
      </c>
      <c r="E95" t="s">
        <v>13</v>
      </c>
      <c r="G95">
        <v>0</v>
      </c>
      <c r="H95">
        <v>0</v>
      </c>
      <c r="I95">
        <v>376563</v>
      </c>
      <c r="J95">
        <v>8.0500000000000007</v>
      </c>
      <c r="L95" t="s">
        <v>17</v>
      </c>
    </row>
    <row r="96" spans="1:12" x14ac:dyDescent="0.25">
      <c r="A96">
        <v>986</v>
      </c>
      <c r="B96">
        <v>0</v>
      </c>
      <c r="C96">
        <v>1</v>
      </c>
      <c r="D96" t="s">
        <v>157</v>
      </c>
      <c r="E96" t="s">
        <v>13</v>
      </c>
      <c r="F96">
        <v>25</v>
      </c>
      <c r="G96">
        <v>0</v>
      </c>
      <c r="H96">
        <v>0</v>
      </c>
      <c r="I96">
        <v>13905</v>
      </c>
      <c r="J96">
        <v>26</v>
      </c>
      <c r="L96" t="s">
        <v>25</v>
      </c>
    </row>
    <row r="97" spans="1:12" x14ac:dyDescent="0.25">
      <c r="A97">
        <v>987</v>
      </c>
      <c r="B97">
        <v>0</v>
      </c>
      <c r="C97">
        <v>3</v>
      </c>
      <c r="D97" t="s">
        <v>158</v>
      </c>
      <c r="E97" t="s">
        <v>13</v>
      </c>
      <c r="F97">
        <v>25</v>
      </c>
      <c r="G97">
        <v>0</v>
      </c>
      <c r="H97">
        <v>0</v>
      </c>
      <c r="I97">
        <v>350033</v>
      </c>
      <c r="J97">
        <v>7.7957999999999998</v>
      </c>
      <c r="L97" t="s">
        <v>17</v>
      </c>
    </row>
    <row r="98" spans="1:12" x14ac:dyDescent="0.25">
      <c r="A98">
        <v>988</v>
      </c>
      <c r="B98">
        <v>1</v>
      </c>
      <c r="C98">
        <v>1</v>
      </c>
      <c r="D98" t="s">
        <v>159</v>
      </c>
      <c r="E98" t="s">
        <v>16</v>
      </c>
      <c r="F98">
        <v>76</v>
      </c>
      <c r="G98">
        <v>1</v>
      </c>
      <c r="H98">
        <v>0</v>
      </c>
      <c r="I98">
        <v>19877</v>
      </c>
      <c r="J98">
        <v>78.849999999999994</v>
      </c>
      <c r="K98" t="s">
        <v>160</v>
      </c>
      <c r="L98" t="s">
        <v>17</v>
      </c>
    </row>
    <row r="99" spans="1:12" x14ac:dyDescent="0.25">
      <c r="A99">
        <v>989</v>
      </c>
      <c r="B99">
        <v>0</v>
      </c>
      <c r="C99">
        <v>3</v>
      </c>
      <c r="D99" t="s">
        <v>161</v>
      </c>
      <c r="E99" t="s">
        <v>13</v>
      </c>
      <c r="F99">
        <v>29</v>
      </c>
      <c r="G99">
        <v>0</v>
      </c>
      <c r="H99">
        <v>0</v>
      </c>
      <c r="I99" t="s">
        <v>162</v>
      </c>
      <c r="J99">
        <v>7.9249999999999998</v>
      </c>
      <c r="L99" t="s">
        <v>17</v>
      </c>
    </row>
    <row r="100" spans="1:12" x14ac:dyDescent="0.25">
      <c r="A100">
        <v>990</v>
      </c>
      <c r="B100">
        <v>1</v>
      </c>
      <c r="C100">
        <v>3</v>
      </c>
      <c r="D100" t="s">
        <v>163</v>
      </c>
      <c r="E100" t="s">
        <v>16</v>
      </c>
      <c r="F100">
        <v>20</v>
      </c>
      <c r="G100">
        <v>0</v>
      </c>
      <c r="H100">
        <v>0</v>
      </c>
      <c r="I100">
        <v>347471</v>
      </c>
      <c r="J100">
        <v>7.8541999999999996</v>
      </c>
      <c r="L100" t="s">
        <v>17</v>
      </c>
    </row>
    <row r="101" spans="1:12" x14ac:dyDescent="0.25">
      <c r="A101">
        <v>991</v>
      </c>
      <c r="B101">
        <v>0</v>
      </c>
      <c r="C101">
        <v>3</v>
      </c>
      <c r="D101" t="s">
        <v>164</v>
      </c>
      <c r="E101" t="s">
        <v>13</v>
      </c>
      <c r="F101">
        <v>33</v>
      </c>
      <c r="G101">
        <v>0</v>
      </c>
      <c r="H101">
        <v>0</v>
      </c>
      <c r="I101" t="s">
        <v>165</v>
      </c>
      <c r="J101">
        <v>8.0500000000000007</v>
      </c>
      <c r="L101" t="s">
        <v>17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3:M18"/>
  <sheetViews>
    <sheetView workbookViewId="0">
      <selection activeCell="L8" sqref="L8"/>
    </sheetView>
  </sheetViews>
  <sheetFormatPr defaultRowHeight="15" x14ac:dyDescent="0.25"/>
  <sheetData>
    <row r="3" spans="4:13" x14ac:dyDescent="0.25">
      <c r="D3" s="7" t="s">
        <v>174</v>
      </c>
      <c r="E3" s="7">
        <f>SUM('Titanic Dataset'!J2:J101)</f>
        <v>3894.1000999999997</v>
      </c>
      <c r="L3" s="11" t="s">
        <v>178</v>
      </c>
      <c r="M3" s="11">
        <f>AVERAGE('Titanic Dataset'!F2:F101)</f>
        <v>31.603658536585368</v>
      </c>
    </row>
    <row r="8" spans="4:13" x14ac:dyDescent="0.25">
      <c r="D8" s="8" t="s">
        <v>175</v>
      </c>
      <c r="E8" s="8">
        <f>COUNT('Titanic Dataset'!A2:A101)</f>
        <v>100</v>
      </c>
    </row>
    <row r="13" spans="4:13" x14ac:dyDescent="0.25">
      <c r="D13" s="9" t="s">
        <v>176</v>
      </c>
      <c r="E13" s="9">
        <f>MAX('Titanic Dataset'!F2:F101)</f>
        <v>76</v>
      </c>
    </row>
    <row r="18" spans="4:5" x14ac:dyDescent="0.25">
      <c r="D18" s="10" t="s">
        <v>177</v>
      </c>
      <c r="E18" s="10">
        <f>MIN('Titanic Dataset'!F2:F101)</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Titanic Dataset</vt:lpstr>
      <vt:lpstr>Pivot Table &amp; Chart</vt:lpstr>
      <vt:lpstr>Charts</vt:lpstr>
      <vt:lpstr>Table</vt:lpstr>
      <vt:lpstr>Conditional Formatting</vt:lpstr>
      <vt:lpstr>Slicing</vt:lpstr>
      <vt:lpstr>Vlookup</vt:lpstr>
      <vt:lpstr>IfError</vt:lpstr>
      <vt:lpstr>Functions and Average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PARMESH JOSHI</dc:creator>
  <cp:lastModifiedBy>admin</cp:lastModifiedBy>
  <dcterms:created xsi:type="dcterms:W3CDTF">2022-09-27T18:42:09Z</dcterms:created>
  <dcterms:modified xsi:type="dcterms:W3CDTF">2022-09-28T06:58:52Z</dcterms:modified>
</cp:coreProperties>
</file>